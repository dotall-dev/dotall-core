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Assumptions" sheetId="1" state="visible" r:id="rId1"/>
    <sheet name="Regions" sheetId="2" state="visible" r:id="rId2"/>
    <sheet name="Revenue" sheetId="3" state="visible" r:id="rId3"/>
    <sheet name="Income" sheetId="4" state="visible" r:id="rId4"/>
    <sheet name="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0" fontId="2" fillId="3" borderId="0" pivotButton="0" quotePrefix="0" xfId="0"/>
    <xf numFmtId="164" fontId="2" fillId="0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FY2026 Monthly Revenue</a:t>
            </a:r>
          </a:p>
        </rich>
      </tx>
      <layout/>
    </title>
    <plotArea>
      <layout/>
      <barChart>
        <barDir val="col"/>
        <grouping val="clustered"/>
        <ser>
          <idx val="0"/>
          <order val="0"/>
          <tx>
            <v>Monthly Revenue</v>
          </tx>
          <spPr>
            <a:ln>
              <a:prstDash val="solid"/>
            </a:ln>
          </spPr>
          <cat>
            <strRef>
              <f>Board!$B$25:$M$25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Board!$B$26:$M$26</f>
              <numCache>
                <formatCode>General</formatCode>
                <ptCount val="12"/>
              </numCache>
            </numRef>
          </val>
        </ser>
        <gapWidth val="150"/>
        <axId val="50010001"/>
        <axId val="50010002"/>
      </bar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0</colOff>
      <row>1</row>
      <rowOff>0</rowOff>
    </from>
    <to>
      <col>9</col>
      <colOff>209550</colOff>
      <row>14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cols>
    <col width="18.7109375" customWidth="1" min="1" max="1"/>
    <col width="16.7109375" customWidth="1" min="2" max="2"/>
  </cols>
  <sheetData>
    <row r="1">
      <c r="A1" s="1" t="inlineStr">
        <is>
          <t>Driver</t>
        </is>
      </c>
      <c r="B1" s="1" t="inlineStr">
        <is>
          <t>Value</t>
        </is>
      </c>
    </row>
    <row r="2">
      <c r="A2" s="2" t="inlineStr">
        <is>
          <t>ListPrice</t>
        </is>
      </c>
      <c r="B2" s="3" t="n">
        <v>49</v>
      </c>
    </row>
    <row r="3">
      <c r="A3" s="2" t="inlineStr">
        <is>
          <t>MoMGrowth</t>
        </is>
      </c>
      <c r="B3" s="8" t="n">
        <v>0.08</v>
      </c>
    </row>
    <row r="4">
      <c r="A4" s="2" t="inlineStr">
        <is>
          <t>Churn</t>
        </is>
      </c>
      <c r="B4" s="8" t="n">
        <v>0.02</v>
      </c>
    </row>
    <row r="5">
      <c r="A5" s="2" t="inlineStr">
        <is>
          <t>COGS%</t>
        </is>
      </c>
      <c r="B5" s="8" t="n">
        <v>0.22</v>
      </c>
    </row>
    <row r="6">
      <c r="A6" s="2" t="inlineStr">
        <is>
          <t>MonthlyOpEx</t>
        </is>
      </c>
      <c r="B6" s="3" t="n">
        <v>85000</v>
      </c>
    </row>
    <row r="7">
      <c r="A7" s="2" t="inlineStr">
        <is>
          <t>TaxRate</t>
        </is>
      </c>
      <c r="B7" s="8" t="n">
        <v>0.21</v>
      </c>
    </row>
    <row r="8">
      <c r="A8" s="2" t="inlineStr">
        <is>
          <t>SeatsPerAcct</t>
        </is>
      </c>
      <c r="B8" t="n">
        <v>12</v>
      </c>
    </row>
    <row r="9">
      <c r="A9" s="2" t="inlineStr">
        <is>
          <t>Discount</t>
        </is>
      </c>
      <c r="B9" s="8" t="n">
        <v>0.1</v>
      </c>
    </row>
    <row r="10">
      <c r="A10" s="2" t="inlineStr">
        <is>
          <t>SupportCost</t>
        </is>
      </c>
      <c r="B10" s="3" t="n">
        <v>4.5</v>
      </c>
    </row>
    <row r="11">
      <c r="A11" s="2" t="inlineStr">
        <is>
          <t>MarketingPct</t>
        </is>
      </c>
      <c r="B11" s="8" t="n">
        <v>0.12</v>
      </c>
    </row>
    <row r="12">
      <c r="A12" s="2" t="inlineStr">
        <is>
          <t>TargetMargin</t>
        </is>
      </c>
      <c r="B12" s="8" t="n">
        <v>0.55</v>
      </c>
    </row>
    <row r="14">
      <c r="A14" t="inlineStr">
        <is>
          <t>Acme SaaS FY2026 — edit B2:B5 in the YC demo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14.7109375" customWidth="1" min="1" max="13"/>
  </cols>
  <sheetData>
    <row r="1">
      <c r="A1" s="1" t="inlineStr">
        <is>
          <t>Region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Americas</t>
        </is>
      </c>
      <c r="B2" s="9" t="n">
        <v>1200</v>
      </c>
      <c r="C2" s="9">
        <f>B2*(1+Assumptions!$B$3)</f>
        <v/>
      </c>
      <c r="D2" s="9">
        <f>C2*(1+Assumptions!$B$3)</f>
        <v/>
      </c>
      <c r="E2" s="9">
        <f>D2*(1+Assumptions!$B$3)</f>
        <v/>
      </c>
      <c r="F2" s="9">
        <f>E2*(1+Assumptions!$B$3)</f>
        <v/>
      </c>
      <c r="G2" s="9">
        <f>F2*(1+Assumptions!$B$3)</f>
        <v/>
      </c>
      <c r="H2" s="9">
        <f>G2*(1+Assumptions!$B$3)</f>
        <v/>
      </c>
      <c r="I2" s="9">
        <f>H2*(1+Assumptions!$B$3)</f>
        <v/>
      </c>
      <c r="J2" s="9">
        <f>I2*(1+Assumptions!$B$3)</f>
        <v/>
      </c>
      <c r="K2" s="9">
        <f>J2*(1+Assumptions!$B$3)</f>
        <v/>
      </c>
      <c r="L2" s="9">
        <f>K2*(1+Assumptions!$B$3)</f>
        <v/>
      </c>
      <c r="M2" s="9">
        <f>L2*(1+Assumptions!$B$3)</f>
        <v/>
      </c>
    </row>
    <row r="3">
      <c r="A3" t="inlineStr">
        <is>
          <t>EMEA</t>
        </is>
      </c>
      <c r="B3" s="9" t="n">
        <v>960</v>
      </c>
      <c r="C3" s="9">
        <f>B3*(1+Assumptions!$B$3)</f>
        <v/>
      </c>
      <c r="D3" s="9">
        <f>C3*(1+Assumptions!$B$3)</f>
        <v/>
      </c>
      <c r="E3" s="9">
        <f>D3*(1+Assumptions!$B$3)</f>
        <v/>
      </c>
      <c r="F3" s="9">
        <f>E3*(1+Assumptions!$B$3)</f>
        <v/>
      </c>
      <c r="G3" s="9">
        <f>F3*(1+Assumptions!$B$3)</f>
        <v/>
      </c>
      <c r="H3" s="9">
        <f>G3*(1+Assumptions!$B$3)</f>
        <v/>
      </c>
      <c r="I3" s="9">
        <f>H3*(1+Assumptions!$B$3)</f>
        <v/>
      </c>
      <c r="J3" s="9">
        <f>I3*(1+Assumptions!$B$3)</f>
        <v/>
      </c>
      <c r="K3" s="9">
        <f>J3*(1+Assumptions!$B$3)</f>
        <v/>
      </c>
      <c r="L3" s="9">
        <f>K3*(1+Assumptions!$B$3)</f>
        <v/>
      </c>
      <c r="M3" s="9">
        <f>L3*(1+Assumptions!$B$3)</f>
        <v/>
      </c>
    </row>
    <row r="4">
      <c r="A4" t="inlineStr">
        <is>
          <t>APAC</t>
        </is>
      </c>
      <c r="B4" s="9" t="n">
        <v>800</v>
      </c>
      <c r="C4" s="9">
        <f>B4*(1+Assumptions!$B$3)</f>
        <v/>
      </c>
      <c r="D4" s="9">
        <f>C4*(1+Assumptions!$B$3)</f>
        <v/>
      </c>
      <c r="E4" s="9">
        <f>D4*(1+Assumptions!$B$3)</f>
        <v/>
      </c>
      <c r="F4" s="9">
        <f>E4*(1+Assumptions!$B$3)</f>
        <v/>
      </c>
      <c r="G4" s="9">
        <f>F4*(1+Assumptions!$B$3)</f>
        <v/>
      </c>
      <c r="H4" s="9">
        <f>G4*(1+Assumptions!$B$3)</f>
        <v/>
      </c>
      <c r="I4" s="9">
        <f>H4*(1+Assumptions!$B$3)</f>
        <v/>
      </c>
      <c r="J4" s="9">
        <f>I4*(1+Assumptions!$B$3)</f>
        <v/>
      </c>
      <c r="K4" s="9">
        <f>J4*(1+Assumptions!$B$3)</f>
        <v/>
      </c>
      <c r="L4" s="9">
        <f>K4*(1+Assumptions!$B$3)</f>
        <v/>
      </c>
      <c r="M4" s="9">
        <f>L4*(1+Assumptions!$B$3)</f>
        <v/>
      </c>
    </row>
    <row r="5">
      <c r="A5" t="inlineStr">
        <is>
          <t>LATAM</t>
        </is>
      </c>
      <c r="B5" s="9" t="n">
        <v>400</v>
      </c>
      <c r="C5" s="9">
        <f>B5*(1+Assumptions!$B$3)</f>
        <v/>
      </c>
      <c r="D5" s="9">
        <f>C5*(1+Assumptions!$B$3)</f>
        <v/>
      </c>
      <c r="E5" s="9">
        <f>D5*(1+Assumptions!$B$3)</f>
        <v/>
      </c>
      <c r="F5" s="9">
        <f>E5*(1+Assumptions!$B$3)</f>
        <v/>
      </c>
      <c r="G5" s="9">
        <f>F5*(1+Assumptions!$B$3)</f>
        <v/>
      </c>
      <c r="H5" s="9">
        <f>G5*(1+Assumptions!$B$3)</f>
        <v/>
      </c>
      <c r="I5" s="9">
        <f>H5*(1+Assumptions!$B$3)</f>
        <v/>
      </c>
      <c r="J5" s="9">
        <f>I5*(1+Assumptions!$B$3)</f>
        <v/>
      </c>
      <c r="K5" s="9">
        <f>J5*(1+Assumptions!$B$3)</f>
        <v/>
      </c>
      <c r="L5" s="9">
        <f>K5*(1+Assumptions!$B$3)</f>
        <v/>
      </c>
      <c r="M5" s="9">
        <f>L5*(1+Assumptions!$B$3)</f>
        <v/>
      </c>
    </row>
    <row r="6">
      <c r="A6" t="inlineStr">
        <is>
          <t>ANZ</t>
        </is>
      </c>
      <c r="B6" s="9" t="n">
        <v>320</v>
      </c>
      <c r="C6" s="9">
        <f>B6*(1+Assumptions!$B$3)</f>
        <v/>
      </c>
      <c r="D6" s="9">
        <f>C6*(1+Assumptions!$B$3)</f>
        <v/>
      </c>
      <c r="E6" s="9">
        <f>D6*(1+Assumptions!$B$3)</f>
        <v/>
      </c>
      <c r="F6" s="9">
        <f>E6*(1+Assumptions!$B$3)</f>
        <v/>
      </c>
      <c r="G6" s="9">
        <f>F6*(1+Assumptions!$B$3)</f>
        <v/>
      </c>
      <c r="H6" s="9">
        <f>G6*(1+Assumptions!$B$3)</f>
        <v/>
      </c>
      <c r="I6" s="9">
        <f>H6*(1+Assumptions!$B$3)</f>
        <v/>
      </c>
      <c r="J6" s="9">
        <f>I6*(1+Assumptions!$B$3)</f>
        <v/>
      </c>
      <c r="K6" s="9">
        <f>J6*(1+Assumptions!$B$3)</f>
        <v/>
      </c>
      <c r="L6" s="9">
        <f>K6*(1+Assumptions!$B$3)</f>
        <v/>
      </c>
      <c r="M6" s="9">
        <f>L6*(1+Assumptions!$B$3)</f>
        <v/>
      </c>
    </row>
    <row r="7">
      <c r="A7" t="inlineStr">
        <is>
          <t>India</t>
        </is>
      </c>
      <c r="B7" s="9" t="n">
        <v>560</v>
      </c>
      <c r="C7" s="9">
        <f>B7*(1+Assumptions!$B$3)</f>
        <v/>
      </c>
      <c r="D7" s="9">
        <f>C7*(1+Assumptions!$B$3)</f>
        <v/>
      </c>
      <c r="E7" s="9">
        <f>D7*(1+Assumptions!$B$3)</f>
        <v/>
      </c>
      <c r="F7" s="9">
        <f>E7*(1+Assumptions!$B$3)</f>
        <v/>
      </c>
      <c r="G7" s="9">
        <f>F7*(1+Assumptions!$B$3)</f>
        <v/>
      </c>
      <c r="H7" s="9">
        <f>G7*(1+Assumptions!$B$3)</f>
        <v/>
      </c>
      <c r="I7" s="9">
        <f>H7*(1+Assumptions!$B$3)</f>
        <v/>
      </c>
      <c r="J7" s="9">
        <f>I7*(1+Assumptions!$B$3)</f>
        <v/>
      </c>
      <c r="K7" s="9">
        <f>J7*(1+Assumptions!$B$3)</f>
        <v/>
      </c>
      <c r="L7" s="9">
        <f>K7*(1+Assumptions!$B$3)</f>
        <v/>
      </c>
      <c r="M7" s="9">
        <f>L7*(1+Assumptions!$B$3)</f>
        <v/>
      </c>
    </row>
    <row r="8">
      <c r="A8" t="inlineStr">
        <is>
          <t>Japan</t>
        </is>
      </c>
      <c r="B8" s="9" t="n">
        <v>640</v>
      </c>
      <c r="C8" s="9">
        <f>B8*(1+Assumptions!$B$3)</f>
        <v/>
      </c>
      <c r="D8" s="9">
        <f>C8*(1+Assumptions!$B$3)</f>
        <v/>
      </c>
      <c r="E8" s="9">
        <f>D8*(1+Assumptions!$B$3)</f>
        <v/>
      </c>
      <c r="F8" s="9">
        <f>E8*(1+Assumptions!$B$3)</f>
        <v/>
      </c>
      <c r="G8" s="9">
        <f>F8*(1+Assumptions!$B$3)</f>
        <v/>
      </c>
      <c r="H8" s="9">
        <f>G8*(1+Assumptions!$B$3)</f>
        <v/>
      </c>
      <c r="I8" s="9">
        <f>H8*(1+Assumptions!$B$3)</f>
        <v/>
      </c>
      <c r="J8" s="9">
        <f>I8*(1+Assumptions!$B$3)</f>
        <v/>
      </c>
      <c r="K8" s="9">
        <f>J8*(1+Assumptions!$B$3)</f>
        <v/>
      </c>
      <c r="L8" s="9">
        <f>K8*(1+Assumptions!$B$3)</f>
        <v/>
      </c>
      <c r="M8" s="9">
        <f>L8*(1+Assumptions!$B$3)</f>
        <v/>
      </c>
    </row>
    <row r="9">
      <c r="A9" t="inlineStr">
        <is>
          <t>Canada</t>
        </is>
      </c>
      <c r="B9" s="9" t="n">
        <v>280</v>
      </c>
      <c r="C9" s="9">
        <f>B9*(1+Assumptions!$B$3)</f>
        <v/>
      </c>
      <c r="D9" s="9">
        <f>C9*(1+Assumptions!$B$3)</f>
        <v/>
      </c>
      <c r="E9" s="9">
        <f>D9*(1+Assumptions!$B$3)</f>
        <v/>
      </c>
      <c r="F9" s="9">
        <f>E9*(1+Assumptions!$B$3)</f>
        <v/>
      </c>
      <c r="G9" s="9">
        <f>F9*(1+Assumptions!$B$3)</f>
        <v/>
      </c>
      <c r="H9" s="9">
        <f>G9*(1+Assumptions!$B$3)</f>
        <v/>
      </c>
      <c r="I9" s="9">
        <f>H9*(1+Assumptions!$B$3)</f>
        <v/>
      </c>
      <c r="J9" s="9">
        <f>I9*(1+Assumptions!$B$3)</f>
        <v/>
      </c>
      <c r="K9" s="9">
        <f>J9*(1+Assumptions!$B$3)</f>
        <v/>
      </c>
      <c r="L9" s="9">
        <f>K9*(1+Assumptions!$B$3)</f>
        <v/>
      </c>
      <c r="M9" s="9">
        <f>L9*(1+Assumptions!$B$3)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14.7109375" customWidth="1" min="1" max="13"/>
  </cols>
  <sheetData>
    <row r="1">
      <c r="A1" s="1" t="inlineStr">
        <is>
          <t>Region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Americas</t>
        </is>
      </c>
      <c r="B2" s="3">
        <f>Regions!$B$2*Assumptions!$B$2</f>
        <v/>
      </c>
      <c r="C2" s="3">
        <f>Regions!$C$2*Assumptions!$B$2</f>
        <v/>
      </c>
      <c r="D2" s="3">
        <f>Regions!$D$2*Assumptions!$B$2</f>
        <v/>
      </c>
      <c r="E2" s="3">
        <f>Regions!$E$2*Assumptions!$B$2</f>
        <v/>
      </c>
      <c r="F2" s="3">
        <f>Regions!$F$2*Assumptions!$B$2</f>
        <v/>
      </c>
      <c r="G2" s="3">
        <f>Regions!$G$2*Assumptions!$B$2</f>
        <v/>
      </c>
      <c r="H2" s="3">
        <f>Regions!$H$2*Assumptions!$B$2</f>
        <v/>
      </c>
      <c r="I2" s="3">
        <f>Regions!$I$2*Assumptions!$B$2</f>
        <v/>
      </c>
      <c r="J2" s="3">
        <f>Regions!$J$2*Assumptions!$B$2</f>
        <v/>
      </c>
      <c r="K2" s="3">
        <f>Regions!$K$2*Assumptions!$B$2</f>
        <v/>
      </c>
      <c r="L2" s="3">
        <f>Regions!$L$2*Assumptions!$B$2</f>
        <v/>
      </c>
      <c r="M2" s="3">
        <f>Regions!$M$2*Assumptions!$B$2</f>
        <v/>
      </c>
    </row>
    <row r="3">
      <c r="A3" t="inlineStr">
        <is>
          <t>EMEA</t>
        </is>
      </c>
      <c r="B3" s="3">
        <f>Regions!$B$3*Assumptions!$B$2</f>
        <v/>
      </c>
      <c r="C3" s="3">
        <f>Regions!$C$3*Assumptions!$B$2</f>
        <v/>
      </c>
      <c r="D3" s="3">
        <f>Regions!$D$3*Assumptions!$B$2</f>
        <v/>
      </c>
      <c r="E3" s="3">
        <f>Regions!$E$3*Assumptions!$B$2</f>
        <v/>
      </c>
      <c r="F3" s="3">
        <f>Regions!$F$3*Assumptions!$B$2</f>
        <v/>
      </c>
      <c r="G3" s="3">
        <f>Regions!$G$3*Assumptions!$B$2</f>
        <v/>
      </c>
      <c r="H3" s="3">
        <f>Regions!$H$3*Assumptions!$B$2</f>
        <v/>
      </c>
      <c r="I3" s="3">
        <f>Regions!$I$3*Assumptions!$B$2</f>
        <v/>
      </c>
      <c r="J3" s="3">
        <f>Regions!$J$3*Assumptions!$B$2</f>
        <v/>
      </c>
      <c r="K3" s="3">
        <f>Regions!$K$3*Assumptions!$B$2</f>
        <v/>
      </c>
      <c r="L3" s="3">
        <f>Regions!$L$3*Assumptions!$B$2</f>
        <v/>
      </c>
      <c r="M3" s="3">
        <f>Regions!$M$3*Assumptions!$B$2</f>
        <v/>
      </c>
    </row>
    <row r="4">
      <c r="A4" t="inlineStr">
        <is>
          <t>APAC</t>
        </is>
      </c>
      <c r="B4" s="3">
        <f>Regions!$B$4*Assumptions!$B$2</f>
        <v/>
      </c>
      <c r="C4" s="3">
        <f>Regions!$C$4*Assumptions!$B$2</f>
        <v/>
      </c>
      <c r="D4" s="3">
        <f>Regions!$D$4*Assumptions!$B$2</f>
        <v/>
      </c>
      <c r="E4" s="3">
        <f>Regions!$E$4*Assumptions!$B$2</f>
        <v/>
      </c>
      <c r="F4" s="3">
        <f>Regions!$F$4*Assumptions!$B$2</f>
        <v/>
      </c>
      <c r="G4" s="3">
        <f>Regions!$G$4*Assumptions!$B$2</f>
        <v/>
      </c>
      <c r="H4" s="3">
        <f>Regions!$H$4*Assumptions!$B$2</f>
        <v/>
      </c>
      <c r="I4" s="3">
        <f>Regions!$I$4*Assumptions!$B$2</f>
        <v/>
      </c>
      <c r="J4" s="3">
        <f>Regions!$J$4*Assumptions!$B$2</f>
        <v/>
      </c>
      <c r="K4" s="3">
        <f>Regions!$K$4*Assumptions!$B$2</f>
        <v/>
      </c>
      <c r="L4" s="3">
        <f>Regions!$L$4*Assumptions!$B$2</f>
        <v/>
      </c>
      <c r="M4" s="3">
        <f>Regions!$M$4*Assumptions!$B$2</f>
        <v/>
      </c>
    </row>
    <row r="5">
      <c r="A5" t="inlineStr">
        <is>
          <t>LATAM</t>
        </is>
      </c>
      <c r="B5" s="3">
        <f>Regions!$B$5*Assumptions!$B$2</f>
        <v/>
      </c>
      <c r="C5" s="3">
        <f>Regions!$C$5*Assumptions!$B$2</f>
        <v/>
      </c>
      <c r="D5" s="3">
        <f>Regions!$D$5*Assumptions!$B$2</f>
        <v/>
      </c>
      <c r="E5" s="3">
        <f>Regions!$E$5*Assumptions!$B$2</f>
        <v/>
      </c>
      <c r="F5" s="3">
        <f>Regions!$F$5*Assumptions!$B$2</f>
        <v/>
      </c>
      <c r="G5" s="3">
        <f>Regions!$G$5*Assumptions!$B$2</f>
        <v/>
      </c>
      <c r="H5" s="3">
        <f>Regions!$H$5*Assumptions!$B$2</f>
        <v/>
      </c>
      <c r="I5" s="3">
        <f>Regions!$I$5*Assumptions!$B$2</f>
        <v/>
      </c>
      <c r="J5" s="3">
        <f>Regions!$J$5*Assumptions!$B$2</f>
        <v/>
      </c>
      <c r="K5" s="3">
        <f>Regions!$K$5*Assumptions!$B$2</f>
        <v/>
      </c>
      <c r="L5" s="3">
        <f>Regions!$L$5*Assumptions!$B$2</f>
        <v/>
      </c>
      <c r="M5" s="3">
        <f>Regions!$M$5*Assumptions!$B$2</f>
        <v/>
      </c>
    </row>
    <row r="6">
      <c r="A6" t="inlineStr">
        <is>
          <t>ANZ</t>
        </is>
      </c>
      <c r="B6" s="3">
        <f>Regions!$B$6*Assumptions!$B$2</f>
        <v/>
      </c>
      <c r="C6" s="3">
        <f>Regions!$C$6*Assumptions!$B$2</f>
        <v/>
      </c>
      <c r="D6" s="3">
        <f>Regions!$D$6*Assumptions!$B$2</f>
        <v/>
      </c>
      <c r="E6" s="3">
        <f>Regions!$E$6*Assumptions!$B$2</f>
        <v/>
      </c>
      <c r="F6" s="3">
        <f>Regions!$F$6*Assumptions!$B$2</f>
        <v/>
      </c>
      <c r="G6" s="3">
        <f>Regions!$G$6*Assumptions!$B$2</f>
        <v/>
      </c>
      <c r="H6" s="3">
        <f>Regions!$H$6*Assumptions!$B$2</f>
        <v/>
      </c>
      <c r="I6" s="3">
        <f>Regions!$I$6*Assumptions!$B$2</f>
        <v/>
      </c>
      <c r="J6" s="3">
        <f>Regions!$J$6*Assumptions!$B$2</f>
        <v/>
      </c>
      <c r="K6" s="3">
        <f>Regions!$K$6*Assumptions!$B$2</f>
        <v/>
      </c>
      <c r="L6" s="3">
        <f>Regions!$L$6*Assumptions!$B$2</f>
        <v/>
      </c>
      <c r="M6" s="3">
        <f>Regions!$M$6*Assumptions!$B$2</f>
        <v/>
      </c>
    </row>
    <row r="7">
      <c r="A7" t="inlineStr">
        <is>
          <t>India</t>
        </is>
      </c>
      <c r="B7" s="3">
        <f>Regions!$B$7*Assumptions!$B$2</f>
        <v/>
      </c>
      <c r="C7" s="3">
        <f>Regions!$C$7*Assumptions!$B$2</f>
        <v/>
      </c>
      <c r="D7" s="3">
        <f>Regions!$D$7*Assumptions!$B$2</f>
        <v/>
      </c>
      <c r="E7" s="3">
        <f>Regions!$E$7*Assumptions!$B$2</f>
        <v/>
      </c>
      <c r="F7" s="3">
        <f>Regions!$F$7*Assumptions!$B$2</f>
        <v/>
      </c>
      <c r="G7" s="3">
        <f>Regions!$G$7*Assumptions!$B$2</f>
        <v/>
      </c>
      <c r="H7" s="3">
        <f>Regions!$H$7*Assumptions!$B$2</f>
        <v/>
      </c>
      <c r="I7" s="3">
        <f>Regions!$I$7*Assumptions!$B$2</f>
        <v/>
      </c>
      <c r="J7" s="3">
        <f>Regions!$J$7*Assumptions!$B$2</f>
        <v/>
      </c>
      <c r="K7" s="3">
        <f>Regions!$K$7*Assumptions!$B$2</f>
        <v/>
      </c>
      <c r="L7" s="3">
        <f>Regions!$L$7*Assumptions!$B$2</f>
        <v/>
      </c>
      <c r="M7" s="3">
        <f>Regions!$M$7*Assumptions!$B$2</f>
        <v/>
      </c>
    </row>
    <row r="8">
      <c r="A8" t="inlineStr">
        <is>
          <t>Japan</t>
        </is>
      </c>
      <c r="B8" s="3">
        <f>Regions!$B$8*Assumptions!$B$2</f>
        <v/>
      </c>
      <c r="C8" s="3">
        <f>Regions!$C$8*Assumptions!$B$2</f>
        <v/>
      </c>
      <c r="D8" s="3">
        <f>Regions!$D$8*Assumptions!$B$2</f>
        <v/>
      </c>
      <c r="E8" s="3">
        <f>Regions!$E$8*Assumptions!$B$2</f>
        <v/>
      </c>
      <c r="F8" s="3">
        <f>Regions!$F$8*Assumptions!$B$2</f>
        <v/>
      </c>
      <c r="G8" s="3">
        <f>Regions!$G$8*Assumptions!$B$2</f>
        <v/>
      </c>
      <c r="H8" s="3">
        <f>Regions!$H$8*Assumptions!$B$2</f>
        <v/>
      </c>
      <c r="I8" s="3">
        <f>Regions!$I$8*Assumptions!$B$2</f>
        <v/>
      </c>
      <c r="J8" s="3">
        <f>Regions!$J$8*Assumptions!$B$2</f>
        <v/>
      </c>
      <c r="K8" s="3">
        <f>Regions!$K$8*Assumptions!$B$2</f>
        <v/>
      </c>
      <c r="L8" s="3">
        <f>Regions!$L$8*Assumptions!$B$2</f>
        <v/>
      </c>
      <c r="M8" s="3">
        <f>Regions!$M$8*Assumptions!$B$2</f>
        <v/>
      </c>
    </row>
    <row r="9">
      <c r="A9" t="inlineStr">
        <is>
          <t>Canada</t>
        </is>
      </c>
      <c r="B9" s="3">
        <f>Regions!$B$9*Assumptions!$B$2</f>
        <v/>
      </c>
      <c r="C9" s="3">
        <f>Regions!$C$9*Assumptions!$B$2</f>
        <v/>
      </c>
      <c r="D9" s="3">
        <f>Regions!$D$9*Assumptions!$B$2</f>
        <v/>
      </c>
      <c r="E9" s="3">
        <f>Regions!$E$9*Assumptions!$B$2</f>
        <v/>
      </c>
      <c r="F9" s="3">
        <f>Regions!$F$9*Assumptions!$B$2</f>
        <v/>
      </c>
      <c r="G9" s="3">
        <f>Regions!$G$9*Assumptions!$B$2</f>
        <v/>
      </c>
      <c r="H9" s="3">
        <f>Regions!$H$9*Assumptions!$B$2</f>
        <v/>
      </c>
      <c r="I9" s="3">
        <f>Regions!$I$9*Assumptions!$B$2</f>
        <v/>
      </c>
      <c r="J9" s="3">
        <f>Regions!$J$9*Assumptions!$B$2</f>
        <v/>
      </c>
      <c r="K9" s="3">
        <f>Regions!$K$9*Assumptions!$B$2</f>
        <v/>
      </c>
      <c r="L9" s="3">
        <f>Regions!$L$9*Assumptions!$B$2</f>
        <v/>
      </c>
      <c r="M9" s="3">
        <f>Regions!$M$9*Assumptions!$B$2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C65911"/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6.7109375" customWidth="1" min="1" max="1"/>
    <col width="14.7109375" customWidth="1" min="2" max="13"/>
    <col width="16.7109375" customWidth="1" min="14" max="14"/>
  </cols>
  <sheetData>
    <row r="1">
      <c r="A1" s="1" t="inlineStr">
        <is>
          <t>Line Item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FY Total</t>
        </is>
      </c>
    </row>
    <row r="2">
      <c r="A2" s="6" t="inlineStr">
        <is>
          <t>Revenue</t>
        </is>
      </c>
      <c r="B2" s="3">
        <f>SUM(Revenue!$B$2:$B$9)</f>
        <v/>
      </c>
      <c r="C2" s="3">
        <f>SUM(Revenue!$C$2:$C$9)</f>
        <v/>
      </c>
      <c r="D2" s="3">
        <f>SUM(Revenue!$D$2:$D$9)</f>
        <v/>
      </c>
      <c r="E2" s="3">
        <f>SUM(Revenue!$E$2:$E$9)</f>
        <v/>
      </c>
      <c r="F2" s="3">
        <f>SUM(Revenue!$F$2:$F$9)</f>
        <v/>
      </c>
      <c r="G2" s="3">
        <f>SUM(Revenue!$G$2:$G$9)</f>
        <v/>
      </c>
      <c r="H2" s="3">
        <f>SUM(Revenue!$H$2:$H$9)</f>
        <v/>
      </c>
      <c r="I2" s="3">
        <f>SUM(Revenue!$I$2:$I$9)</f>
        <v/>
      </c>
      <c r="J2" s="3">
        <f>SUM(Revenue!$J$2:$J$9)</f>
        <v/>
      </c>
      <c r="K2" s="3">
        <f>SUM(Revenue!$K$2:$K$9)</f>
        <v/>
      </c>
      <c r="L2" s="3">
        <f>SUM(Revenue!$L$2:$L$9)</f>
        <v/>
      </c>
      <c r="M2" s="3">
        <f>SUM(Revenue!$M$2:$M$9)</f>
        <v/>
      </c>
      <c r="N2" s="7">
        <f>SUM($B$2:$M$2)</f>
        <v/>
      </c>
    </row>
    <row r="3">
      <c r="A3" s="2" t="inlineStr">
        <is>
          <t>COGS</t>
        </is>
      </c>
      <c r="B3" s="3">
        <f>$B$2*Assumptions!$B$5</f>
        <v/>
      </c>
      <c r="C3" s="3">
        <f>$C$2*Assumptions!$B$5</f>
        <v/>
      </c>
      <c r="D3" s="3">
        <f>$D$2*Assumptions!$B$5</f>
        <v/>
      </c>
      <c r="E3" s="3">
        <f>$E$2*Assumptions!$B$5</f>
        <v/>
      </c>
      <c r="F3" s="3">
        <f>$F$2*Assumptions!$B$5</f>
        <v/>
      </c>
      <c r="G3" s="3">
        <f>$G$2*Assumptions!$B$5</f>
        <v/>
      </c>
      <c r="H3" s="3">
        <f>$H$2*Assumptions!$B$5</f>
        <v/>
      </c>
      <c r="I3" s="3">
        <f>$I$2*Assumptions!$B$5</f>
        <v/>
      </c>
      <c r="J3" s="3">
        <f>$J$2*Assumptions!$B$5</f>
        <v/>
      </c>
      <c r="K3" s="3">
        <f>$K$2*Assumptions!$B$5</f>
        <v/>
      </c>
      <c r="L3" s="3">
        <f>$L$2*Assumptions!$B$5</f>
        <v/>
      </c>
      <c r="M3" s="3">
        <f>$M$2*Assumptions!$B$5</f>
        <v/>
      </c>
      <c r="N3" s="3">
        <f>SUM($B$3:$M$3)</f>
        <v/>
      </c>
    </row>
    <row r="4">
      <c r="A4" s="6" t="inlineStr">
        <is>
          <t>Gross Profit</t>
        </is>
      </c>
      <c r="B4" s="3">
        <f>$B$2-$B$3</f>
        <v/>
      </c>
      <c r="C4" s="3">
        <f>$C$2-$C$3</f>
        <v/>
      </c>
      <c r="D4" s="3">
        <f>$D$2-$D$3</f>
        <v/>
      </c>
      <c r="E4" s="3">
        <f>$E$2-$E$3</f>
        <v/>
      </c>
      <c r="F4" s="3">
        <f>$F$2-$F$3</f>
        <v/>
      </c>
      <c r="G4" s="3">
        <f>$G$2-$G$3</f>
        <v/>
      </c>
      <c r="H4" s="3">
        <f>$H$2-$H$3</f>
        <v/>
      </c>
      <c r="I4" s="3">
        <f>$I$2-$I$3</f>
        <v/>
      </c>
      <c r="J4" s="3">
        <f>$J$2-$J$3</f>
        <v/>
      </c>
      <c r="K4" s="3">
        <f>$K$2-$K$3</f>
        <v/>
      </c>
      <c r="L4" s="3">
        <f>$L$2-$L$3</f>
        <v/>
      </c>
      <c r="M4" s="3">
        <f>$M$2-$M$3</f>
        <v/>
      </c>
      <c r="N4" s="7">
        <f>SUM($B$4:$M$4)</f>
        <v/>
      </c>
    </row>
    <row r="5">
      <c r="A5" s="2" t="inlineStr">
        <is>
          <t>OpEx</t>
        </is>
      </c>
      <c r="B5" s="3">
        <f>Assumptions!$B$6</f>
        <v/>
      </c>
      <c r="C5" s="3">
        <f>Assumptions!$B$6</f>
        <v/>
      </c>
      <c r="D5" s="3">
        <f>Assumptions!$B$6</f>
        <v/>
      </c>
      <c r="E5" s="3">
        <f>Assumptions!$B$6</f>
        <v/>
      </c>
      <c r="F5" s="3">
        <f>Assumptions!$B$6</f>
        <v/>
      </c>
      <c r="G5" s="3">
        <f>Assumptions!$B$6</f>
        <v/>
      </c>
      <c r="H5" s="3">
        <f>Assumptions!$B$6</f>
        <v/>
      </c>
      <c r="I5" s="3">
        <f>Assumptions!$B$6</f>
        <v/>
      </c>
      <c r="J5" s="3">
        <f>Assumptions!$B$6</f>
        <v/>
      </c>
      <c r="K5" s="3">
        <f>Assumptions!$B$6</f>
        <v/>
      </c>
      <c r="L5" s="3">
        <f>Assumptions!$B$6</f>
        <v/>
      </c>
      <c r="M5" s="3">
        <f>Assumptions!$B$6</f>
        <v/>
      </c>
      <c r="N5" s="3">
        <f>SUM($B$5:$M$5)</f>
        <v/>
      </c>
    </row>
    <row r="6">
      <c r="A6" s="2" t="inlineStr">
        <is>
          <t>EBT</t>
        </is>
      </c>
      <c r="B6" s="3">
        <f>$B$4-$B$5</f>
        <v/>
      </c>
      <c r="C6" s="3">
        <f>$C$4-$C$5</f>
        <v/>
      </c>
      <c r="D6" s="3">
        <f>$D$4-$D$5</f>
        <v/>
      </c>
      <c r="E6" s="3">
        <f>$E$4-$E$5</f>
        <v/>
      </c>
      <c r="F6" s="3">
        <f>$F$4-$F$5</f>
        <v/>
      </c>
      <c r="G6" s="3">
        <f>$G$4-$G$5</f>
        <v/>
      </c>
      <c r="H6" s="3">
        <f>$H$4-$H$5</f>
        <v/>
      </c>
      <c r="I6" s="3">
        <f>$I$4-$I$5</f>
        <v/>
      </c>
      <c r="J6" s="3">
        <f>$J$4-$J$5</f>
        <v/>
      </c>
      <c r="K6" s="3">
        <f>$K$4-$K$5</f>
        <v/>
      </c>
      <c r="L6" s="3">
        <f>$L$4-$L$5</f>
        <v/>
      </c>
      <c r="M6" s="3">
        <f>$M$4-$M$5</f>
        <v/>
      </c>
      <c r="N6" s="3">
        <f>SUM($B$6:$M$6)</f>
        <v/>
      </c>
    </row>
    <row r="7">
      <c r="A7" s="2" t="inlineStr">
        <is>
          <t>Tax</t>
        </is>
      </c>
      <c r="B7" s="3">
        <f>MAX(0,$B$6)*Assumptions!$B$7</f>
        <v/>
      </c>
      <c r="C7" s="3">
        <f>MAX(0,$C$6)*Assumptions!$B$7</f>
        <v/>
      </c>
      <c r="D7" s="3">
        <f>MAX(0,$D$6)*Assumptions!$B$7</f>
        <v/>
      </c>
      <c r="E7" s="3">
        <f>MAX(0,$E$6)*Assumptions!$B$7</f>
        <v/>
      </c>
      <c r="F7" s="3">
        <f>MAX(0,$F$6)*Assumptions!$B$7</f>
        <v/>
      </c>
      <c r="G7" s="3">
        <f>MAX(0,$G$6)*Assumptions!$B$7</f>
        <v/>
      </c>
      <c r="H7" s="3">
        <f>MAX(0,$H$6)*Assumptions!$B$7</f>
        <v/>
      </c>
      <c r="I7" s="3">
        <f>MAX(0,$I$6)*Assumptions!$B$7</f>
        <v/>
      </c>
      <c r="J7" s="3">
        <f>MAX(0,$J$6)*Assumptions!$B$7</f>
        <v/>
      </c>
      <c r="K7" s="3">
        <f>MAX(0,$K$6)*Assumptions!$B$7</f>
        <v/>
      </c>
      <c r="L7" s="3">
        <f>MAX(0,$L$6)*Assumptions!$B$7</f>
        <v/>
      </c>
      <c r="M7" s="3">
        <f>MAX(0,$M$6)*Assumptions!$B$7</f>
        <v/>
      </c>
      <c r="N7" s="3">
        <f>SUM($B$7:$M$7)</f>
        <v/>
      </c>
    </row>
    <row r="8">
      <c r="A8" s="6" t="inlineStr">
        <is>
          <t>Net Income</t>
        </is>
      </c>
      <c r="B8" s="7">
        <f>$B$6-$B$7</f>
        <v/>
      </c>
      <c r="C8" s="7">
        <f>$C$6-$C$7</f>
        <v/>
      </c>
      <c r="D8" s="7">
        <f>$D$6-$D$7</f>
        <v/>
      </c>
      <c r="E8" s="7">
        <f>$E$6-$E$7</f>
        <v/>
      </c>
      <c r="F8" s="7">
        <f>$F$6-$F$7</f>
        <v/>
      </c>
      <c r="G8" s="7">
        <f>$G$6-$G$7</f>
        <v/>
      </c>
      <c r="H8" s="7">
        <f>$H$6-$H$7</f>
        <v/>
      </c>
      <c r="I8" s="7">
        <f>$I$6-$I$7</f>
        <v/>
      </c>
      <c r="J8" s="7">
        <f>$J$6-$J$7</f>
        <v/>
      </c>
      <c r="K8" s="7">
        <f>$K$6-$K$7</f>
        <v/>
      </c>
      <c r="L8" s="7">
        <f>$L$6-$L$7</f>
        <v/>
      </c>
      <c r="M8" s="7">
        <f>$M$6-$M$7</f>
        <v/>
      </c>
      <c r="N8" s="7">
        <f>SUM($B$8:$M$8)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833C0C"/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8.7109375" customWidth="1" min="1" max="2"/>
    <col width="14.7109375" customWidth="1" min="3" max="13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s="2" t="inlineStr">
        <is>
          <t>ARR</t>
        </is>
      </c>
      <c r="B2" s="7">
        <f>Income!$M$2*12</f>
        <v/>
      </c>
    </row>
    <row r="3">
      <c r="A3" s="2" t="inlineStr">
        <is>
          <t>MRR</t>
        </is>
      </c>
      <c r="B3" s="7">
        <f>Income!$M$2</f>
        <v/>
      </c>
    </row>
    <row r="4">
      <c r="A4" s="2" t="inlineStr">
        <is>
          <t>FY Revenue</t>
        </is>
      </c>
      <c r="B4" s="7">
        <f>Income!$N$2</f>
        <v/>
      </c>
    </row>
    <row r="5">
      <c r="A5" s="2" t="inlineStr">
        <is>
          <t>Gross Margin</t>
        </is>
      </c>
      <c r="B5" s="8">
        <f>IF(Income!$N$2=0,0,Income!$N$4/Income!$N$2)</f>
        <v/>
      </c>
    </row>
    <row r="6">
      <c r="A6" s="2" t="inlineStr">
        <is>
          <t>FY Net Income</t>
        </is>
      </c>
      <c r="B6" s="7">
        <f>Income!$N$8</f>
        <v/>
      </c>
    </row>
    <row r="7">
      <c r="A7" s="2" t="inlineStr">
        <is>
          <t>List Price</t>
        </is>
      </c>
      <c r="B7" s="7">
        <f>Assumptions!$B$2</f>
        <v/>
      </c>
    </row>
    <row r="25">
      <c r="A25" s="1" t="inlineStr">
        <is>
          <t>Month</t>
        </is>
      </c>
      <c r="B25" t="inlineStr">
        <is>
          <t>Jan</t>
        </is>
      </c>
      <c r="C25" t="inlineStr">
        <is>
          <t>Feb</t>
        </is>
      </c>
      <c r="D25" t="inlineStr">
        <is>
          <t>Mar</t>
        </is>
      </c>
      <c r="E25" t="inlineStr">
        <is>
          <t>Apr</t>
        </is>
      </c>
      <c r="F25" t="inlineStr">
        <is>
          <t>May</t>
        </is>
      </c>
      <c r="G25" t="inlineStr">
        <is>
          <t>Jun</t>
        </is>
      </c>
      <c r="H25" t="inlineStr">
        <is>
          <t>Jul</t>
        </is>
      </c>
      <c r="I25" t="inlineStr">
        <is>
          <t>Aug</t>
        </is>
      </c>
      <c r="J25" t="inlineStr">
        <is>
          <t>Sep</t>
        </is>
      </c>
      <c r="K25" t="inlineStr">
        <is>
          <t>Oct</t>
        </is>
      </c>
      <c r="L25" t="inlineStr">
        <is>
          <t>Nov</t>
        </is>
      </c>
      <c r="M25" t="inlineStr">
        <is>
          <t>Dec</t>
        </is>
      </c>
    </row>
    <row r="26">
      <c r="A26" s="1" t="inlineStr">
        <is>
          <t>Revenue</t>
        </is>
      </c>
      <c r="B26" s="7">
        <f>Income!$B$2</f>
        <v/>
      </c>
      <c r="C26" s="7">
        <f>Income!$C$2</f>
        <v/>
      </c>
      <c r="D26" s="7">
        <f>Income!$D$2</f>
        <v/>
      </c>
      <c r="E26" s="7">
        <f>Income!$E$2</f>
        <v/>
      </c>
      <c r="F26" s="7">
        <f>Income!$F$2</f>
        <v/>
      </c>
      <c r="G26" s="7">
        <f>Income!$G$2</f>
        <v/>
      </c>
      <c r="H26" s="7">
        <f>Income!$H$2</f>
        <v/>
      </c>
      <c r="I26" s="7">
        <f>Income!$I$2</f>
        <v/>
      </c>
      <c r="J26" s="7">
        <f>Income!$J$2</f>
        <v/>
      </c>
      <c r="K26" s="7">
        <f>Income!$K$2</f>
        <v/>
      </c>
      <c r="L26" s="7">
        <f>Income!$L$2</f>
        <v/>
      </c>
      <c r="M26" s="7">
        <f>Income!$M$2</f>
        <v/>
      </c>
    </row>
    <row r="28">
      <c r="A28" t="inlineStr">
        <is>
          <t>Board pack — chart is preserve-only in the Dotall demo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2026-07-26T11:58:54Z</dcterms:created>
  <dcterms:modified xsi:type="dcterms:W3CDTF">2026-07-26T18:56:41Z</dcterms:modified>
</cp:coreProperties>
</file>