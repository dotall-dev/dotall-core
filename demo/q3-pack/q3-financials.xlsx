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ARR" sheetId="4" state="visible" r:id="rId4"/>
    <sheet xmlns:r="http://schemas.openxmlformats.org/officeDocument/2006/relationships" name="Pipeline" sheetId="5" state="visible" r:id="rId5"/>
    <sheet xmlns:r="http://schemas.openxmlformats.org/officeDocument/2006/relationships" name="Headcount" sheetId="6" state="visible" r:id="rId6"/>
    <sheet xmlns:r="http://schemas.openxmlformats.org/officeDocument/2006/relationships" name="FY2024-01" sheetId="7" state="visible" r:id="rId7"/>
    <sheet xmlns:r="http://schemas.openxmlformats.org/officeDocument/2006/relationships" name="FY2024-02" sheetId="8" state="visible" r:id="rId8"/>
    <sheet xmlns:r="http://schemas.openxmlformats.org/officeDocument/2006/relationships" name="FY2024-03" sheetId="9" state="visible" r:id="rId9"/>
    <sheet xmlns:r="http://schemas.openxmlformats.org/officeDocument/2006/relationships" name="FY2024-04" sheetId="10" state="visible" r:id="rId10"/>
    <sheet xmlns:r="http://schemas.openxmlformats.org/officeDocument/2006/relationships" name="FY2024-05" sheetId="11" state="visible" r:id="rId11"/>
    <sheet xmlns:r="http://schemas.openxmlformats.org/officeDocument/2006/relationships" name="FY2024-06" sheetId="12" state="visible" r:id="rId12"/>
    <sheet xmlns:r="http://schemas.openxmlformats.org/officeDocument/2006/relationships" name="FY2024-07" sheetId="13" state="visible" r:id="rId13"/>
    <sheet xmlns:r="http://schemas.openxmlformats.org/officeDocument/2006/relationships" name="FY2024-08" sheetId="14" state="visible" r:id="rId14"/>
    <sheet xmlns:r="http://schemas.openxmlformats.org/officeDocument/2006/relationships" name="FY2024-09" sheetId="15" state="visible" r:id="rId15"/>
    <sheet xmlns:r="http://schemas.openxmlformats.org/officeDocument/2006/relationships" name="FY2024-10" sheetId="16" state="visible" r:id="rId16"/>
    <sheet xmlns:r="http://schemas.openxmlformats.org/officeDocument/2006/relationships" name="FY2024-11" sheetId="17" state="visible" r:id="rId17"/>
    <sheet xmlns:r="http://schemas.openxmlformats.org/officeDocument/2006/relationships" name="FY2024-12" sheetId="18" state="visible" r:id="rId18"/>
  </sheets>
  <definedNames>
    <definedName name="Rate">Inputs!$B$2</definedName>
    <definedName name="_xlnm.Print_Titles" localSheetId="1">'Inputs'!$1:$1</definedName>
    <definedName name="_xlnm._FilterDatabase" localSheetId="2" hidden="1">'Revenue'!$A$1:$B$5</definedName>
    <definedName name="_xlnm.Print_Titles" localSheetId="2">'Revenue'!$1:$1</definedName>
    <definedName name="_xlnm._FilterDatabase" localSheetId="3" hidden="1">'ARR'!$A$2:$I$14</definedName>
    <definedName name="_xlnm.Print_Titles" localSheetId="3">'ARR'!$1:$2</definedName>
    <definedName name="_xlnm._FilterDatabase" localSheetId="4" hidden="1">'Pipeline'!$A$2:$F$7</definedName>
    <definedName name="_xlnm.Print_Titles" localSheetId="4">'Pipeline'!$1:$2</definedName>
    <definedName name="_xlnm._FilterDatabase" localSheetId="5" hidden="1">'Headcount'!$A$2:$F$8</definedName>
    <definedName name="_xlnm.Print_Titles" localSheetId="5">'Headcount'!$1:$2</definedName>
    <definedName name="_xlnm._FilterDatabase" localSheetId="6" hidden="1">'FY2024-01'!$A$1:$G$97</definedName>
    <definedName name="_xlnm.Print_Titles" localSheetId="6">'FY2024-01'!$1:$1</definedName>
    <definedName name="_xlnm._FilterDatabase" localSheetId="7" hidden="1">'FY2024-02'!$A$1:$G$97</definedName>
    <definedName name="_xlnm.Print_Titles" localSheetId="7">'FY2024-02'!$1:$1</definedName>
    <definedName name="_xlnm._FilterDatabase" localSheetId="8" hidden="1">'FY2024-03'!$A$1:$G$97</definedName>
    <definedName name="_xlnm.Print_Titles" localSheetId="8">'FY2024-03'!$1:$1</definedName>
    <definedName name="_xlnm._FilterDatabase" localSheetId="9" hidden="1">'FY2024-04'!$A$1:$G$97</definedName>
    <definedName name="_xlnm.Print_Titles" localSheetId="9">'FY2024-04'!$1:$1</definedName>
    <definedName name="_xlnm._FilterDatabase" localSheetId="10" hidden="1">'FY2024-05'!$A$1:$G$97</definedName>
    <definedName name="_xlnm.Print_Titles" localSheetId="10">'FY2024-05'!$1:$1</definedName>
    <definedName name="_xlnm._FilterDatabase" localSheetId="11" hidden="1">'FY2024-06'!$A$1:$G$97</definedName>
    <definedName name="_xlnm.Print_Titles" localSheetId="11">'FY2024-06'!$1:$1</definedName>
    <definedName name="_xlnm._FilterDatabase" localSheetId="12" hidden="1">'FY2024-07'!$A$1:$G$97</definedName>
    <definedName name="_xlnm.Print_Titles" localSheetId="12">'FY2024-07'!$1:$1</definedName>
    <definedName name="_xlnm._FilterDatabase" localSheetId="13" hidden="1">'FY2024-08'!$A$1:$G$97</definedName>
    <definedName name="_xlnm.Print_Titles" localSheetId="13">'FY2024-08'!$1:$1</definedName>
    <definedName name="_xlnm._FilterDatabase" localSheetId="14" hidden="1">'FY2024-09'!$A$1:$G$97</definedName>
    <definedName name="_xlnm.Print_Titles" localSheetId="14">'FY2024-09'!$1:$1</definedName>
    <definedName name="_xlnm._FilterDatabase" localSheetId="15" hidden="1">'FY2024-10'!$A$1:$G$97</definedName>
    <definedName name="_xlnm.Print_Titles" localSheetId="15">'FY2024-10'!$1:$1</definedName>
    <definedName name="_xlnm._FilterDatabase" localSheetId="16" hidden="1">'FY2024-11'!$A$1:$G$97</definedName>
    <definedName name="_xlnm.Print_Titles" localSheetId="16">'FY2024-11'!$1:$1</definedName>
    <definedName name="_xlnm._FilterDatabase" localSheetId="17" hidden="1">'FY2024-12'!$A$1:$G$97</definedName>
    <definedName name="_xlnm.Print_Titles" localSheetId="17">'FY2024-12'!$1:$1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$#,##0"/>
    <numFmt numFmtId="167" formatCode="+#,##0;-#,##0;0"/>
  </numFmts>
  <fonts count="11">
    <font>
      <name val="Calibri"/>
      <family val="2"/>
      <color theme="1"/>
      <sz val="11"/>
      <scheme val="minor"/>
    </font>
    <font>
      <name val="Calibri Light"/>
      <color rgb="001F4E79"/>
      <sz val="22"/>
    </font>
    <font>
      <name val="Calibri Light"/>
      <color rgb="00595959"/>
      <sz val="13"/>
    </font>
    <font>
      <name val="Calibri"/>
      <b val="1"/>
      <color rgb="001F4E79"/>
      <sz val="11"/>
    </font>
    <font>
      <name val="Calibri"/>
      <sz val="11"/>
    </font>
    <font>
      <name val="Calibri Light"/>
      <color rgb="001F4E79"/>
      <sz val="14"/>
    </font>
    <font>
      <name val="Calibri"/>
      <b val="1"/>
      <color rgb="00FFFFFF"/>
      <sz val="10"/>
    </font>
    <font>
      <name val="Calibri"/>
      <i val="1"/>
      <color rgb="00595959"/>
      <sz val="9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1F1F1F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bottom style="medium">
        <color rgb="001F4E79"/>
      </bottom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BF8F00"/>
      </bottom>
    </border>
    <border>
      <bottom style="thin">
        <color rgb="00D6DCE4"/>
      </bottom>
    </border>
    <border>
      <top style="thin">
        <color rgb="001F4E79"/>
      </top>
    </border>
    <border>
      <top style="thin">
        <color rgb="001F4E79"/>
      </top>
      <bottom style="medium">
        <color rgb="001F4E7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9" fontId="10" fillId="3" borderId="3" applyAlignment="1" pivotButton="0" quotePrefix="0" xfId="0">
      <alignment horizontal="right" vertical="center"/>
    </xf>
    <xf numFmtId="164" fontId="10" fillId="3" borderId="3" applyAlignment="1" pivotButton="0" quotePrefix="0" xfId="0">
      <alignment horizontal="right" vertical="center"/>
    </xf>
    <xf numFmtId="0" fontId="4" fillId="0" borderId="4" applyAlignment="1" pivotButton="0" quotePrefix="0" xfId="0">
      <alignment horizontal="left" vertical="center"/>
    </xf>
    <xf numFmtId="165" fontId="4" fillId="0" borderId="4" applyAlignment="1" pivotButton="0" quotePrefix="0" xfId="0">
      <alignment horizontal="right" vertical="center"/>
    </xf>
    <xf numFmtId="166" fontId="4" fillId="0" borderId="4" applyAlignment="1" pivotButton="0" quotePrefix="0" xfId="0">
      <alignment horizontal="right" vertical="center"/>
    </xf>
    <xf numFmtId="3" fontId="4" fillId="0" borderId="4" applyAlignment="1" pivotButton="0" quotePrefix="0" xfId="0">
      <alignment horizontal="right" vertical="center"/>
    </xf>
    <xf numFmtId="2" fontId="4" fillId="0" borderId="4" applyAlignment="1" pivotButton="0" quotePrefix="0" xfId="0">
      <alignment horizontal="right" vertical="center"/>
    </xf>
    <xf numFmtId="0" fontId="7" fillId="0" borderId="0" pivotButton="0" quotePrefix="0" xfId="0"/>
    <xf numFmtId="0" fontId="6" fillId="2" borderId="0" applyAlignment="1" pivotButton="0" quotePrefix="0" xfId="0">
      <alignment horizontal="right" vertical="center"/>
    </xf>
    <xf numFmtId="0" fontId="3" fillId="0" borderId="5" applyAlignment="1" pivotButton="0" quotePrefix="0" xfId="0">
      <alignment horizontal="left" vertical="center"/>
    </xf>
    <xf numFmtId="166" fontId="3" fillId="0" borderId="5" applyAlignment="1" pivotButton="0" quotePrefix="0" xfId="0">
      <alignment horizontal="right" vertical="center"/>
    </xf>
    <xf numFmtId="0" fontId="3" fillId="0" borderId="6" applyAlignment="1" pivotButton="0" quotePrefix="0" xfId="0">
      <alignment horizontal="left" vertical="center"/>
    </xf>
    <xf numFmtId="164" fontId="3" fillId="0" borderId="6" applyAlignment="1" pivotButton="0" quotePrefix="0" xfId="0">
      <alignment horizontal="right" vertical="center"/>
    </xf>
    <xf numFmtId="166" fontId="3" fillId="0" borderId="4" applyAlignment="1" pivotButton="0" quotePrefix="0" xfId="0">
      <alignment horizontal="right" vertical="center"/>
    </xf>
    <xf numFmtId="166" fontId="3" fillId="0" borderId="6" applyAlignment="1" pivotButton="0" quotePrefix="0" xfId="0">
      <alignment horizontal="right" vertical="center"/>
    </xf>
    <xf numFmtId="0" fontId="0" fillId="0" borderId="6" pivotButton="0" quotePrefix="0" xfId="0"/>
    <xf numFmtId="3" fontId="4" fillId="0" borderId="4" applyAlignment="1" pivotButton="0" quotePrefix="0" xfId="0">
      <alignment horizontal="center" vertical="center"/>
    </xf>
    <xf numFmtId="9" fontId="4" fillId="0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/>
    </xf>
    <xf numFmtId="3" fontId="3" fillId="0" borderId="6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167" fontId="3" fillId="0" borderId="6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/>
            </a:pPr>
            <a:r>
              <a:t>Billed revenue — trailing six months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'Revenue'!B9</c:f>
            </c:strRef>
          </c:tx>
          <c: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c:spPr>
          <c:cat>
            <c:strRef>
              <c:f>'Revenue'!$A$10:$A$15</c:f>
            </c:strRef>
          </c:cat>
          <c:val>
            <c:numRef>
              <c:f>'Revenue'!$B$10:$B$15</c:f>
            </c:numRef>
          </c:val>
        </c:ser>
        <c:gapWidth val="60"/>
        <c:axId val="10"/>
        <c:axId val="100"/>
      </c:barChart>
      <c:catAx>
        <c:axId val="10"/>
        <c:scaling>
          <c:orientation val="minMax"/>
        </c:scaling>
        <c:axPos val="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axPos val="l"/>
        <c:majorGridlines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c:rich>
          </c:tx>
        </c:title>
        <c:numFmt formatCode="$#,##0" sourceLinked="0"/>
        <c:majorTickMark val="none"/>
        <c:minorTickMark val="none"/>
        <c:crossAx val="10"/>
      </c:valAx>
    </c:plotArea>
    <c:plotVisOnly val="1"/>
    <c:dispBlanksAs val="gap"/>
  </c:chart>
</c:chartSpace>
</file>

<file path=xl/comments/comment1.xml><?xml version="1.0" encoding="utf-8"?>
<comments xmlns="http://schemas.openxmlformats.org/spreadsheetml/2006/main">
  <authors>
    <author>Priya Shah</author>
  </authors>
  <commentList>
    <comment ref="B2" authorId="0" shapeId="0">
      <text>
        <t>Board approved the 10% Q3 commission rate on 12 Aug 2026.
This cell is the named range Rate: Revenue!B5 and the board deck KPI both read it. Change the rate here, never in the deck.
— Priya Shah, VP Finance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940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D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58" customWidth="1" min="3" max="3"/>
    <col width="18" customWidth="1" min="4" max="4"/>
    <col width="2.5" customWidth="1" min="5" max="5"/>
  </cols>
  <sheetData>
    <row r="2" ht="30" customHeight="1">
      <c r="B2" s="1" t="inlineStr">
        <is>
          <t>Northstar Analytics</t>
        </is>
      </c>
    </row>
    <row r="3" ht="20" customHeight="1">
      <c r="B3" s="2" t="inlineStr">
        <is>
          <t>FY2026 Q3 Board Pack — full operating pack</t>
        </is>
      </c>
    </row>
    <row r="4">
      <c r="B4" s="3" t="n"/>
      <c r="C4" s="3" t="n"/>
      <c r="D4" s="3" t="n"/>
    </row>
    <row r="6">
      <c r="B6" s="4" t="inlineStr">
        <is>
          <t>Prepared by</t>
        </is>
      </c>
      <c r="C6" s="5" t="inlineStr">
        <is>
          <t>Priya Shah, VP Finance</t>
        </is>
      </c>
    </row>
    <row r="7">
      <c r="B7" s="4" t="inlineStr">
        <is>
          <t>Date</t>
        </is>
      </c>
      <c r="C7" s="5" t="inlineStr">
        <is>
          <t>17 August 2026</t>
        </is>
      </c>
    </row>
    <row r="8">
      <c r="B8" s="4" t="inlineStr">
        <is>
          <t>Audience</t>
        </is>
      </c>
      <c r="C8" s="5" t="inlineStr">
        <is>
          <t>Board of Directors · Audit &amp; Comp committee</t>
        </is>
      </c>
    </row>
    <row r="9">
      <c r="B9" s="4" t="inlineStr">
        <is>
          <t>Classification</t>
        </is>
      </c>
      <c r="C9" s="5" t="inlineStr">
        <is>
          <t>CONFIDENTIAL — do not distribute</t>
        </is>
      </c>
    </row>
    <row r="11">
      <c r="B11" s="6" t="inlineStr">
        <is>
          <t>Contents</t>
        </is>
      </c>
    </row>
    <row r="12" ht="20" customHeight="1">
      <c r="B12" s="7" t="inlineStr">
        <is>
          <t>Tab</t>
        </is>
      </c>
      <c r="C12" s="7" t="inlineStr">
        <is>
          <t>What it shows</t>
        </is>
      </c>
      <c r="D12" s="8" t="inlineStr">
        <is>
          <t>Owner</t>
        </is>
      </c>
    </row>
    <row r="13" ht="18" customHeight="1">
      <c r="B13" s="9" t="inlineStr">
        <is>
          <t>Inputs</t>
        </is>
      </c>
      <c r="C13" s="10" t="inlineStr">
        <is>
          <t>Board-approved assumptions; Rate drives the deck and memo</t>
        </is>
      </c>
      <c r="D13" s="11" t="inlineStr">
        <is>
          <t>Finance</t>
        </is>
      </c>
    </row>
    <row r="14" ht="18" customHeight="1">
      <c r="B14" s="9" t="inlineStr">
        <is>
          <t>Revenue</t>
        </is>
      </c>
      <c r="C14" s="10" t="inlineStr">
        <is>
          <t>Commission base, live commission formula, trailing billings</t>
        </is>
      </c>
      <c r="D14" s="11" t="inlineStr">
        <is>
          <t>Finance</t>
        </is>
      </c>
    </row>
    <row r="15" ht="18" customHeight="1">
      <c r="B15" s="9" t="inlineStr">
        <is>
          <t>ARR</t>
        </is>
      </c>
      <c r="C15" s="10" t="inlineStr">
        <is>
          <t>FY2026 ARR bridge with NRR by month</t>
        </is>
      </c>
      <c r="D15" s="11" t="inlineStr">
        <is>
          <t>Finance</t>
        </is>
      </c>
    </row>
    <row r="16" ht="18" customHeight="1">
      <c r="B16" s="9" t="inlineStr">
        <is>
          <t>Pipeline</t>
        </is>
      </c>
      <c r="C16" s="10" t="inlineStr">
        <is>
          <t>Q4 pipeline by stage with weighted coverage</t>
        </is>
      </c>
      <c r="D16" s="11" t="inlineStr">
        <is>
          <t>Sales ops</t>
        </is>
      </c>
    </row>
    <row r="17" ht="18" customHeight="1">
      <c r="B17" s="9" t="inlineStr">
        <is>
          <t>Headcount</t>
        </is>
      </c>
      <c r="C17" s="10" t="inlineStr">
        <is>
          <t>Q3 plan vs actual by function</t>
        </is>
      </c>
      <c r="D17" s="11" t="inlineStr">
        <is>
          <t>People ops</t>
        </is>
      </c>
    </row>
    <row r="18" ht="18" customHeight="1">
      <c r="B18" s="9" t="inlineStr">
        <is>
          <t>FY2024-01 … 12</t>
        </is>
      </c>
      <c r="C18" s="10" t="inlineStr">
        <is>
          <t>Appendix: FY2024 bookings detail — historical, do not edit</t>
        </is>
      </c>
      <c r="D18" s="11" t="inlineStr">
        <is>
          <t>Finance</t>
        </is>
      </c>
    </row>
    <row r="20">
      <c r="B20" s="12" t="inlineStr">
        <is>
          <t>Gold cells are inputs. Everything else is a formula — overwrite an input, not a calculation.</t>
        </is>
      </c>
    </row>
    <row r="21">
      <c r="B21" s="13" t="inlineStr">
        <is>
          <t>Input</t>
        </is>
      </c>
    </row>
  </sheetData>
  <mergeCells count="1">
    <mergeCell ref="B20:D20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D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4" customWidth="1" min="3" max="3"/>
    <col width="52" customWidth="1" min="4" max="4"/>
  </cols>
  <sheetData>
    <row r="1" ht="22" customHeight="1">
      <c r="A1" s="14" t="inlineStr">
        <is>
          <t>Assumptions</t>
        </is>
      </c>
      <c r="D1" s="4" t="inlineStr">
        <is>
          <t>Source</t>
        </is>
      </c>
    </row>
    <row r="2" ht="17" customHeight="1">
      <c r="A2" s="15" t="inlineStr">
        <is>
          <t>Rate</t>
        </is>
      </c>
      <c r="B2" s="16" t="n">
        <v>0.1</v>
      </c>
      <c r="D2" s="12" t="inlineStr">
        <is>
          <t>Commission rate — board approved 12 Aug 2026</t>
        </is>
      </c>
    </row>
    <row r="3" ht="17" customHeight="1">
      <c r="A3" s="15" t="inlineStr">
        <is>
          <t>Base</t>
        </is>
      </c>
      <c r="B3" s="17" t="n">
        <v>100</v>
      </c>
      <c r="D3" s="12" t="inlineStr">
        <is>
          <t>Unit commission base (per booked seat)</t>
        </is>
      </c>
    </row>
    <row r="4" ht="17" customHeight="1">
      <c r="A4" s="18" t="inlineStr">
        <is>
          <t>Gross margin</t>
        </is>
      </c>
      <c r="B4" s="19" t="n">
        <v>0.8100000000000001</v>
      </c>
      <c r="D4" s="12" t="inlineStr">
        <is>
          <t>Q3 actual, net of hosting + support</t>
        </is>
      </c>
    </row>
    <row r="5" ht="17" customHeight="1">
      <c r="A5" s="18" t="inlineStr">
        <is>
          <t>Net revenue retention</t>
        </is>
      </c>
      <c r="B5" s="19" t="n">
        <v>1.14</v>
      </c>
      <c r="D5" s="12" t="inlineStr">
        <is>
          <t>Trailing twelve months, &gt; $25k cohort</t>
        </is>
      </c>
    </row>
    <row r="6" ht="17" customHeight="1">
      <c r="A6" s="18" t="inlineStr">
        <is>
          <t>Logo churn (annual)</t>
        </is>
      </c>
      <c r="B6" s="19" t="n">
        <v>0.068</v>
      </c>
      <c r="D6" s="12" t="inlineStr">
        <is>
          <t>SMB weighted; enterprise 2.1%</t>
        </is>
      </c>
    </row>
    <row r="7" ht="17" customHeight="1">
      <c r="A7" s="18" t="inlineStr">
        <is>
          <t>Blended CAC</t>
        </is>
      </c>
      <c r="B7" s="20" t="n">
        <v>18400</v>
      </c>
      <c r="D7" s="12" t="inlineStr">
        <is>
          <t>Sales + marketing / new logos</t>
        </is>
      </c>
    </row>
    <row r="8" ht="17" customHeight="1">
      <c r="A8" s="18" t="inlineStr">
        <is>
          <t>CAC payback (months)</t>
        </is>
      </c>
      <c r="B8" s="21" t="n">
        <v>14</v>
      </c>
      <c r="D8" s="12" t="inlineStr">
        <is>
          <t>Gross-margin adjusted</t>
        </is>
      </c>
    </row>
    <row r="9" ht="17" customHeight="1">
      <c r="A9" s="18" t="inlineStr">
        <is>
          <t>Quota per AE</t>
        </is>
      </c>
      <c r="B9" s="20" t="n">
        <v>780000</v>
      </c>
      <c r="D9" s="12" t="inlineStr">
        <is>
          <t>FY2026 plan, ramped AEs only</t>
        </is>
      </c>
    </row>
    <row r="10" ht="17" customHeight="1">
      <c r="A10" s="18" t="inlineStr">
        <is>
          <t>FX (USD/EUR)</t>
        </is>
      </c>
      <c r="B10" s="22" t="n">
        <v>1.08</v>
      </c>
      <c r="D10" s="12" t="inlineStr">
        <is>
          <t>Treasury rate, locked for the quarter</t>
        </is>
      </c>
    </row>
    <row r="13">
      <c r="A13" s="23" t="inlineStr">
        <is>
          <t>Gold cells are the only editable inputs on this tab.</t>
        </is>
      </c>
    </row>
  </sheetData>
  <mergeCells count="2">
    <mergeCell ref="A13:D13"/>
    <mergeCell ref="A1:B1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0" customHeight="1">
      <c r="A1" s="7" t="inlineStr">
        <is>
          <t>Label</t>
        </is>
      </c>
      <c r="B1" s="24" t="inlineStr">
        <is>
          <t>Amount</t>
        </is>
      </c>
    </row>
    <row r="2">
      <c r="A2" s="18" t="inlineStr">
        <is>
          <t>Jan</t>
        </is>
      </c>
      <c r="B2" s="20" t="n">
        <v>1183400</v>
      </c>
    </row>
    <row r="3">
      <c r="A3" s="18" t="inlineStr">
        <is>
          <t>Feb</t>
        </is>
      </c>
      <c r="B3" s="20" t="n">
        <v>1276900</v>
      </c>
    </row>
    <row r="4">
      <c r="A4" s="25" t="inlineStr">
        <is>
          <t>Total</t>
        </is>
      </c>
      <c r="B4" s="26">
        <f>B2+B3</f>
        <v/>
      </c>
    </row>
    <row r="5">
      <c r="A5" s="27" t="inlineStr">
        <is>
          <t>Commission</t>
        </is>
      </c>
      <c r="B5" s="28">
        <f>B4*Inputs!B2</f>
        <v/>
      </c>
    </row>
    <row r="6">
      <c r="A6" s="12" t="inlineStr">
        <is>
          <t>Commission = Total billed × Rate (Inputs!B2, named range Rate). Rate is the only cell to touch.</t>
        </is>
      </c>
    </row>
    <row r="8" ht="22" customHeight="1">
      <c r="A8" s="14" t="inlineStr">
        <is>
          <t>Trailing billings — monthly</t>
        </is>
      </c>
    </row>
    <row r="9" ht="20" customHeight="1">
      <c r="A9" s="7" t="inlineStr">
        <is>
          <t>Month</t>
        </is>
      </c>
      <c r="B9" s="24" t="inlineStr">
        <is>
          <t>Billed</t>
        </is>
      </c>
    </row>
    <row r="10">
      <c r="A10" s="18" t="inlineStr">
        <is>
          <t>Mar</t>
        </is>
      </c>
      <c r="B10" s="20" t="n">
        <v>1312500</v>
      </c>
    </row>
    <row r="11">
      <c r="A11" s="18" t="inlineStr">
        <is>
          <t>Apr</t>
        </is>
      </c>
      <c r="B11" s="20" t="n">
        <v>1358900</v>
      </c>
    </row>
    <row r="12">
      <c r="A12" s="18" t="inlineStr">
        <is>
          <t>May</t>
        </is>
      </c>
      <c r="B12" s="20" t="n">
        <v>1401200</v>
      </c>
    </row>
    <row r="13">
      <c r="A13" s="18" t="inlineStr">
        <is>
          <t>Jun</t>
        </is>
      </c>
      <c r="B13" s="20" t="n">
        <v>1466800</v>
      </c>
    </row>
    <row r="14">
      <c r="A14" s="18" t="inlineStr">
        <is>
          <t>Jul</t>
        </is>
      </c>
      <c r="B14" s="20" t="n">
        <v>1524300</v>
      </c>
    </row>
    <row r="15">
      <c r="A15" s="18" t="inlineStr">
        <is>
          <t>Aug</t>
        </is>
      </c>
      <c r="B15" s="20" t="n">
        <v>1583700</v>
      </c>
    </row>
  </sheetData>
  <autoFilter ref="A1:B5"/>
  <mergeCells count="2">
    <mergeCell ref="A8:B8"/>
    <mergeCell ref="A6:B6"/>
  </mergeCells>
  <pageMargins left="0.5" right="0.5" top="0.75" bottom="0.75" header="0.5" footer="0.5"/>
  <pageSetup orientation="portrait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2" customWidth="1" min="9" max="9"/>
  </cols>
  <sheetData>
    <row r="1" ht="22" customHeight="1">
      <c r="A1" s="14" t="inlineStr">
        <is>
          <t>ARR bridge — FY2026 (USD)</t>
        </is>
      </c>
    </row>
    <row r="2" ht="20" customHeight="1">
      <c r="A2" s="7" t="inlineStr">
        <is>
          <t>Month</t>
        </is>
      </c>
      <c r="B2" s="24" t="inlineStr">
        <is>
          <t>Opening</t>
        </is>
      </c>
      <c r="C2" s="24" t="inlineStr">
        <is>
          <t>New</t>
        </is>
      </c>
      <c r="D2" s="24" t="inlineStr">
        <is>
          <t>Expansion</t>
        </is>
      </c>
      <c r="E2" s="24" t="inlineStr">
        <is>
          <t>Contraction</t>
        </is>
      </c>
      <c r="F2" s="24" t="inlineStr">
        <is>
          <t>Churn</t>
        </is>
      </c>
      <c r="G2" s="24" t="inlineStr">
        <is>
          <t>Closing</t>
        </is>
      </c>
      <c r="H2" s="24" t="inlineStr">
        <is>
          <t>Net new</t>
        </is>
      </c>
      <c r="I2" s="24" t="inlineStr">
        <is>
          <t>NRR</t>
        </is>
      </c>
    </row>
    <row r="3">
      <c r="A3" s="18" t="inlineStr">
        <is>
          <t>Oct-25</t>
        </is>
      </c>
      <c r="B3" s="20" t="n">
        <v>41250000</v>
      </c>
      <c r="C3" s="20" t="n">
        <v>612000</v>
      </c>
      <c r="D3" s="20" t="n">
        <v>388000</v>
      </c>
      <c r="E3" s="20" t="n">
        <v>-104000</v>
      </c>
      <c r="F3" s="20" t="n">
        <v>-186000</v>
      </c>
      <c r="G3" s="29">
        <f>B3+C3+D3+E3+F3</f>
        <v/>
      </c>
      <c r="H3" s="20">
        <f>G3-B3</f>
        <v/>
      </c>
      <c r="I3" s="19">
        <f>(B3+D3+E3+F3)/B3</f>
        <v/>
      </c>
    </row>
    <row r="4">
      <c r="A4" s="18" t="inlineStr">
        <is>
          <t>Nov-25</t>
        </is>
      </c>
      <c r="B4" s="20">
        <f>G3</f>
        <v/>
      </c>
      <c r="C4" s="20" t="n">
        <v>655000</v>
      </c>
      <c r="D4" s="20" t="n">
        <v>402000</v>
      </c>
      <c r="E4" s="20" t="n">
        <v>-98000</v>
      </c>
      <c r="F4" s="20" t="n">
        <v>-171000</v>
      </c>
      <c r="G4" s="29">
        <f>B4+C4+D4+E4+F4</f>
        <v/>
      </c>
      <c r="H4" s="20">
        <f>G4-B4</f>
        <v/>
      </c>
      <c r="I4" s="19">
        <f>(B4+D4+E4+F4)/B4</f>
        <v/>
      </c>
    </row>
    <row r="5">
      <c r="A5" s="18" t="inlineStr">
        <is>
          <t>Dec-25</t>
        </is>
      </c>
      <c r="B5" s="20">
        <f>G4</f>
        <v/>
      </c>
      <c r="C5" s="20" t="n">
        <v>812000</v>
      </c>
      <c r="D5" s="20" t="n">
        <v>466000</v>
      </c>
      <c r="E5" s="20" t="n">
        <v>-143000</v>
      </c>
      <c r="F5" s="20" t="n">
        <v>-238000</v>
      </c>
      <c r="G5" s="29">
        <f>B5+C5+D5+E5+F5</f>
        <v/>
      </c>
      <c r="H5" s="20">
        <f>G5-B5</f>
        <v/>
      </c>
      <c r="I5" s="19">
        <f>(B5+D5+E5+F5)/B5</f>
        <v/>
      </c>
    </row>
    <row r="6">
      <c r="A6" s="18" t="inlineStr">
        <is>
          <t>Jan-26</t>
        </is>
      </c>
      <c r="B6" s="20">
        <f>G5</f>
        <v/>
      </c>
      <c r="C6" s="20" t="n">
        <v>588000</v>
      </c>
      <c r="D6" s="20" t="n">
        <v>351000</v>
      </c>
      <c r="E6" s="20" t="n">
        <v>-121000</v>
      </c>
      <c r="F6" s="20" t="n">
        <v>-204000</v>
      </c>
      <c r="G6" s="29">
        <f>B6+C6+D6+E6+F6</f>
        <v/>
      </c>
      <c r="H6" s="20">
        <f>G6-B6</f>
        <v/>
      </c>
      <c r="I6" s="19">
        <f>(B6+D6+E6+F6)/B6</f>
        <v/>
      </c>
    </row>
    <row r="7">
      <c r="A7" s="18" t="inlineStr">
        <is>
          <t>Feb-26</t>
        </is>
      </c>
      <c r="B7" s="20">
        <f>G6</f>
        <v/>
      </c>
      <c r="C7" s="20" t="n">
        <v>641000</v>
      </c>
      <c r="D7" s="20" t="n">
        <v>397000</v>
      </c>
      <c r="E7" s="20" t="n">
        <v>-96000</v>
      </c>
      <c r="F7" s="20" t="n">
        <v>-168000</v>
      </c>
      <c r="G7" s="29">
        <f>B7+C7+D7+E7+F7</f>
        <v/>
      </c>
      <c r="H7" s="20">
        <f>G7-B7</f>
        <v/>
      </c>
      <c r="I7" s="19">
        <f>(B7+D7+E7+F7)/B7</f>
        <v/>
      </c>
    </row>
    <row r="8">
      <c r="A8" s="18" t="inlineStr">
        <is>
          <t>Mar-26</t>
        </is>
      </c>
      <c r="B8" s="20">
        <f>G7</f>
        <v/>
      </c>
      <c r="C8" s="20" t="n">
        <v>735000</v>
      </c>
      <c r="D8" s="20" t="n">
        <v>452000</v>
      </c>
      <c r="E8" s="20" t="n">
        <v>-118000</v>
      </c>
      <c r="F8" s="20" t="n">
        <v>-212000</v>
      </c>
      <c r="G8" s="29">
        <f>B8+C8+D8+E8+F8</f>
        <v/>
      </c>
      <c r="H8" s="20">
        <f>G8-B8</f>
        <v/>
      </c>
      <c r="I8" s="19">
        <f>(B8+D8+E8+F8)/B8</f>
        <v/>
      </c>
    </row>
    <row r="9">
      <c r="A9" s="18" t="inlineStr">
        <is>
          <t>Apr-26</t>
        </is>
      </c>
      <c r="B9" s="20">
        <f>G8</f>
        <v/>
      </c>
      <c r="C9" s="20" t="n">
        <v>702000</v>
      </c>
      <c r="D9" s="20" t="n">
        <v>428000</v>
      </c>
      <c r="E9" s="20" t="n">
        <v>-109000</v>
      </c>
      <c r="F9" s="20" t="n">
        <v>-195000</v>
      </c>
      <c r="G9" s="29">
        <f>B9+C9+D9+E9+F9</f>
        <v/>
      </c>
      <c r="H9" s="20">
        <f>G9-B9</f>
        <v/>
      </c>
      <c r="I9" s="19">
        <f>(B9+D9+E9+F9)/B9</f>
        <v/>
      </c>
    </row>
    <row r="10">
      <c r="A10" s="18" t="inlineStr">
        <is>
          <t>May-26</t>
        </is>
      </c>
      <c r="B10" s="20">
        <f>G9</f>
        <v/>
      </c>
      <c r="C10" s="20" t="n">
        <v>748000</v>
      </c>
      <c r="D10" s="20" t="n">
        <v>461000</v>
      </c>
      <c r="E10" s="20" t="n">
        <v>-102000</v>
      </c>
      <c r="F10" s="20" t="n">
        <v>-181000</v>
      </c>
      <c r="G10" s="29">
        <f>B10+C10+D10+E10+F10</f>
        <v/>
      </c>
      <c r="H10" s="20">
        <f>G10-B10</f>
        <v/>
      </c>
      <c r="I10" s="19">
        <f>(B10+D10+E10+F10)/B10</f>
        <v/>
      </c>
    </row>
    <row r="11">
      <c r="A11" s="18" t="inlineStr">
        <is>
          <t>Jun-26</t>
        </is>
      </c>
      <c r="B11" s="20">
        <f>G10</f>
        <v/>
      </c>
      <c r="C11" s="20" t="n">
        <v>869000</v>
      </c>
      <c r="D11" s="20" t="n">
        <v>512000</v>
      </c>
      <c r="E11" s="20" t="n">
        <v>-131000</v>
      </c>
      <c r="F11" s="20" t="n">
        <v>-246000</v>
      </c>
      <c r="G11" s="29">
        <f>B11+C11+D11+E11+F11</f>
        <v/>
      </c>
      <c r="H11" s="20">
        <f>G11-B11</f>
        <v/>
      </c>
      <c r="I11" s="19">
        <f>(B11+D11+E11+F11)/B11</f>
        <v/>
      </c>
    </row>
    <row r="12">
      <c r="A12" s="18" t="inlineStr">
        <is>
          <t>Jul-26</t>
        </is>
      </c>
      <c r="B12" s="20">
        <f>G11</f>
        <v/>
      </c>
      <c r="C12" s="20" t="n">
        <v>796000</v>
      </c>
      <c r="D12" s="20" t="n">
        <v>487000</v>
      </c>
      <c r="E12" s="20" t="n">
        <v>-114000</v>
      </c>
      <c r="F12" s="20" t="n">
        <v>-203000</v>
      </c>
      <c r="G12" s="29">
        <f>B12+C12+D12+E12+F12</f>
        <v/>
      </c>
      <c r="H12" s="20">
        <f>G12-B12</f>
        <v/>
      </c>
      <c r="I12" s="19">
        <f>(B12+D12+E12+F12)/B12</f>
        <v/>
      </c>
    </row>
    <row r="13">
      <c r="A13" s="18" t="inlineStr">
        <is>
          <t>Aug-26</t>
        </is>
      </c>
      <c r="B13" s="20">
        <f>G12</f>
        <v/>
      </c>
      <c r="C13" s="20" t="n">
        <v>841000</v>
      </c>
      <c r="D13" s="20" t="n">
        <v>524000</v>
      </c>
      <c r="E13" s="20" t="n">
        <v>-107000</v>
      </c>
      <c r="F13" s="20" t="n">
        <v>-188000</v>
      </c>
      <c r="G13" s="29">
        <f>B13+C13+D13+E13+F13</f>
        <v/>
      </c>
      <c r="H13" s="20">
        <f>G13-B13</f>
        <v/>
      </c>
      <c r="I13" s="19">
        <f>(B13+D13+E13+F13)/B13</f>
        <v/>
      </c>
    </row>
    <row r="14">
      <c r="A14" s="18" t="inlineStr">
        <is>
          <t>Sep-26</t>
        </is>
      </c>
      <c r="B14" s="20">
        <f>G13</f>
        <v/>
      </c>
      <c r="C14" s="20" t="n">
        <v>918000</v>
      </c>
      <c r="D14" s="20" t="n">
        <v>566000</v>
      </c>
      <c r="E14" s="20" t="n">
        <v>-126000</v>
      </c>
      <c r="F14" s="20" t="n">
        <v>-231000</v>
      </c>
      <c r="G14" s="29">
        <f>B14+C14+D14+E14+F14</f>
        <v/>
      </c>
      <c r="H14" s="20">
        <f>G14-B14</f>
        <v/>
      </c>
      <c r="I14" s="19">
        <f>(B14+D14+E14+F14)/B14</f>
        <v/>
      </c>
    </row>
    <row r="15">
      <c r="A15" s="27" t="inlineStr">
        <is>
          <t>FY2026</t>
        </is>
      </c>
      <c r="B15" s="30">
        <f>B3</f>
        <v/>
      </c>
      <c r="C15" s="30">
        <f>SUM(C3:C14)</f>
        <v/>
      </c>
      <c r="D15" s="30">
        <f>SUM(D3:D14)</f>
        <v/>
      </c>
      <c r="E15" s="30">
        <f>SUM(E3:E14)</f>
        <v/>
      </c>
      <c r="F15" s="30">
        <f>SUM(F3:F14)</f>
        <v/>
      </c>
      <c r="G15" s="30">
        <f>G14</f>
        <v/>
      </c>
      <c r="H15" s="30">
        <f>G15-B15</f>
        <v/>
      </c>
      <c r="I15" s="31" t="n"/>
    </row>
    <row r="17">
      <c r="A17" s="12" t="inlineStr">
        <is>
          <t>Closing ARR rolls into next month's opening. NRR excludes new logos; contraction is downgrades only.</t>
        </is>
      </c>
    </row>
  </sheetData>
  <autoFilter ref="A2:I14"/>
  <mergeCells count="2">
    <mergeCell ref="A1:I1"/>
    <mergeCell ref="A17:I17"/>
  </mergeCells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D6DCE4"/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2" customWidth="1" min="4" max="4"/>
    <col width="18" customWidth="1" min="5" max="5"/>
    <col width="34" customWidth="1" min="6" max="6"/>
  </cols>
  <sheetData>
    <row r="1" ht="22" customHeight="1">
      <c r="A1" s="14" t="inlineStr">
        <is>
          <t>Q4 pipeline by stage — as at 15 Aug 2026</t>
        </is>
      </c>
    </row>
    <row r="2" ht="20" customHeight="1">
      <c r="A2" s="7" t="inlineStr">
        <is>
          <t>Stage</t>
        </is>
      </c>
      <c r="B2" s="8" t="inlineStr">
        <is>
          <t>Opps</t>
        </is>
      </c>
      <c r="C2" s="24" t="inlineStr">
        <is>
          <t>Value</t>
        </is>
      </c>
      <c r="D2" s="8" t="inlineStr">
        <is>
          <t>Weight</t>
        </is>
      </c>
      <c r="E2" s="24" t="inlineStr">
        <is>
          <t>Weighted</t>
        </is>
      </c>
      <c r="F2" s="7" t="inlineStr">
        <is>
          <t>Commentary</t>
        </is>
      </c>
    </row>
    <row r="3">
      <c r="A3" s="18" t="inlineStr">
        <is>
          <t>1 — Discovery</t>
        </is>
      </c>
      <c r="B3" s="32" t="n">
        <v>84</v>
      </c>
      <c r="C3" s="20" t="n">
        <v>12640000</v>
      </c>
      <c r="D3" s="33" t="n">
        <v>0.1</v>
      </c>
      <c r="E3" s="20">
        <f>C3*D3</f>
        <v/>
      </c>
      <c r="F3" s="34" t="inlineStr">
        <is>
          <t>Top of funnel; MQL mix improving</t>
        </is>
      </c>
    </row>
    <row r="4">
      <c r="A4" s="18" t="inlineStr">
        <is>
          <t>2 — Qualified</t>
        </is>
      </c>
      <c r="B4" s="32" t="n">
        <v>52</v>
      </c>
      <c r="C4" s="20" t="n">
        <v>9180000</v>
      </c>
      <c r="D4" s="33" t="n">
        <v>0.25</v>
      </c>
      <c r="E4" s="20">
        <f>C4*D4</f>
        <v/>
      </c>
      <c r="F4" s="34" t="inlineStr">
        <is>
          <t>SDR handoff SLA now under 24h</t>
        </is>
      </c>
    </row>
    <row r="5">
      <c r="A5" s="18" t="inlineStr">
        <is>
          <t>3 — Business case</t>
        </is>
      </c>
      <c r="B5" s="32" t="n">
        <v>31</v>
      </c>
      <c r="C5" s="20" t="n">
        <v>6420000</v>
      </c>
      <c r="D5" s="33" t="n">
        <v>0.45</v>
      </c>
      <c r="E5" s="20">
        <f>C5*D5</f>
        <v/>
      </c>
      <c r="F5" s="34" t="inlineStr">
        <is>
          <t>Security review is the long pole</t>
        </is>
      </c>
    </row>
    <row r="6">
      <c r="A6" s="18" t="inlineStr">
        <is>
          <t>4 — Negotiation</t>
        </is>
      </c>
      <c r="B6" s="32" t="n">
        <v>18</v>
      </c>
      <c r="C6" s="20" t="n">
        <v>4150000</v>
      </c>
      <c r="D6" s="33" t="n">
        <v>0.7</v>
      </c>
      <c r="E6" s="20">
        <f>C6*D6</f>
        <v/>
      </c>
      <c r="F6" s="34" t="inlineStr">
        <is>
          <t>Three deals pending legal redlines</t>
        </is>
      </c>
    </row>
    <row r="7">
      <c r="A7" s="18" t="inlineStr">
        <is>
          <t>5 — Verbal</t>
        </is>
      </c>
      <c r="B7" s="32" t="n">
        <v>9</v>
      </c>
      <c r="C7" s="20" t="n">
        <v>2260000</v>
      </c>
      <c r="D7" s="33" t="n">
        <v>0.9</v>
      </c>
      <c r="E7" s="20">
        <f>C7*D7</f>
        <v/>
      </c>
      <c r="F7" s="34" t="inlineStr">
        <is>
          <t>Two slipped from Q3 into Q4</t>
        </is>
      </c>
    </row>
    <row r="8">
      <c r="A8" s="27" t="inlineStr">
        <is>
          <t>Total pipeline</t>
        </is>
      </c>
      <c r="B8" s="35">
        <f>SUM(B3:B7)</f>
        <v/>
      </c>
      <c r="C8" s="30">
        <f>SUM(C3:C7)</f>
        <v/>
      </c>
      <c r="D8" s="31" t="n"/>
      <c r="E8" s="30">
        <f>SUM(E3:E7)</f>
        <v/>
      </c>
      <c r="F8" s="31" t="n"/>
    </row>
    <row r="10">
      <c r="A10" s="23" t="inlineStr">
        <is>
          <t>Weighted pipeline covers 3.1× the Q4 new-ARR plan; board target is 3.0×.</t>
        </is>
      </c>
    </row>
  </sheetData>
  <autoFilter ref="A2:F7"/>
  <mergeCells count="2">
    <mergeCell ref="A1:F1"/>
    <mergeCell ref="A10:F10"/>
  </mergeCells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D6DCE4"/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36" customWidth="1" min="6" max="6"/>
  </cols>
  <sheetData>
    <row r="1" ht="22" customHeight="1">
      <c r="A1" s="14" t="inlineStr">
        <is>
          <t>Headcount — Q3 plan vs actual</t>
        </is>
      </c>
    </row>
    <row r="2" ht="20" customHeight="1">
      <c r="A2" s="7" t="inlineStr">
        <is>
          <t>Function</t>
        </is>
      </c>
      <c r="B2" s="24" t="inlineStr">
        <is>
          <t>Q2 actual</t>
        </is>
      </c>
      <c r="C2" s="24" t="inlineStr">
        <is>
          <t>Q3 plan</t>
        </is>
      </c>
      <c r="D2" s="24" t="inlineStr">
        <is>
          <t>Q3 actual</t>
        </is>
      </c>
      <c r="E2" s="8" t="inlineStr">
        <is>
          <t>Var</t>
        </is>
      </c>
      <c r="F2" s="7" t="inlineStr">
        <is>
          <t>Commentary</t>
        </is>
      </c>
    </row>
    <row r="3">
      <c r="A3" s="18" t="inlineStr">
        <is>
          <t>Engineering</t>
        </is>
      </c>
      <c r="B3" s="21" t="n">
        <v>78</v>
      </c>
      <c r="C3" s="21" t="n">
        <v>86</v>
      </c>
      <c r="D3" s="21" t="n">
        <v>83</v>
      </c>
      <c r="E3" s="36">
        <f>D3-C3</f>
        <v/>
      </c>
      <c r="F3" s="34" t="inlineStr">
        <is>
          <t>Three offers out; two backfills paused</t>
        </is>
      </c>
    </row>
    <row r="4">
      <c r="A4" s="18" t="inlineStr">
        <is>
          <t>Product &amp; design</t>
        </is>
      </c>
      <c r="B4" s="21" t="n">
        <v>19</v>
      </c>
      <c r="C4" s="21" t="n">
        <v>22</v>
      </c>
      <c r="D4" s="21" t="n">
        <v>21</v>
      </c>
      <c r="E4" s="36">
        <f>D4-C4</f>
        <v/>
      </c>
      <c r="F4" s="34" t="inlineStr">
        <is>
          <t>Design systems hire starts 1 Sep</t>
        </is>
      </c>
    </row>
    <row r="5">
      <c r="A5" s="18" t="inlineStr">
        <is>
          <t>Sales</t>
        </is>
      </c>
      <c r="B5" s="21" t="n">
        <v>41</v>
      </c>
      <c r="C5" s="21" t="n">
        <v>48</v>
      </c>
      <c r="D5" s="21" t="n">
        <v>45</v>
      </c>
      <c r="E5" s="36">
        <f>D5-C5</f>
        <v/>
      </c>
      <c r="F5" s="34" t="inlineStr">
        <is>
          <t>Two AE ramps pushed to Q4</t>
        </is>
      </c>
    </row>
    <row r="6">
      <c r="A6" s="18" t="inlineStr">
        <is>
          <t>Customer success</t>
        </is>
      </c>
      <c r="B6" s="21" t="n">
        <v>27</v>
      </c>
      <c r="C6" s="21" t="n">
        <v>31</v>
      </c>
      <c r="D6" s="21" t="n">
        <v>31</v>
      </c>
      <c r="E6" s="36">
        <f>D6-C6</f>
        <v/>
      </c>
      <c r="F6" s="34" t="inlineStr">
        <is>
          <t>Fully staffed against the renewal book</t>
        </is>
      </c>
    </row>
    <row r="7">
      <c r="A7" s="18" t="inlineStr">
        <is>
          <t>Marketing</t>
        </is>
      </c>
      <c r="B7" s="21" t="n">
        <v>16</v>
      </c>
      <c r="C7" s="21" t="n">
        <v>17</v>
      </c>
      <c r="D7" s="21" t="n">
        <v>16</v>
      </c>
      <c r="E7" s="36">
        <f>D7-C7</f>
        <v/>
      </c>
      <c r="F7" s="34" t="inlineStr">
        <is>
          <t>Holding open the demand-gen lead</t>
        </is>
      </c>
    </row>
    <row r="8">
      <c r="A8" s="18" t="inlineStr">
        <is>
          <t>G&amp;A</t>
        </is>
      </c>
      <c r="B8" s="21" t="n">
        <v>14</v>
      </c>
      <c r="C8" s="21" t="n">
        <v>15</v>
      </c>
      <c r="D8" s="21" t="n">
        <v>15</v>
      </c>
      <c r="E8" s="36">
        <f>D8-C8</f>
        <v/>
      </c>
      <c r="F8" s="34" t="inlineStr">
        <is>
          <t>Includes the new revenue accountant</t>
        </is>
      </c>
    </row>
    <row r="9">
      <c r="A9" s="27" t="inlineStr">
        <is>
          <t>Total</t>
        </is>
      </c>
      <c r="B9" s="37">
        <f>SUM(B3:B8)</f>
        <v/>
      </c>
      <c r="C9" s="37">
        <f>SUM(C3:C8)</f>
        <v/>
      </c>
      <c r="D9" s="37">
        <f>SUM(D3:D8)</f>
        <v/>
      </c>
      <c r="E9" s="38">
        <f>SUM(E3:E8)</f>
        <v/>
      </c>
      <c r="F9" s="31" t="n"/>
    </row>
    <row r="11">
      <c r="A11" s="23" t="inlineStr">
        <is>
          <t>Net 6 under plan; the shortfall funds the Q4 security hires.</t>
        </is>
      </c>
    </row>
  </sheetData>
  <autoFilter ref="A2:F8"/>
  <mergeCells count="2">
    <mergeCell ref="A11:F11"/>
    <mergeCell ref="A1:F1"/>
  </mergeCells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2024-01-04</t>
        </is>
      </c>
      <c r="B2" s="18" t="inlineStr">
        <is>
          <t>AMER East</t>
        </is>
      </c>
      <c r="C2" s="18" t="inlineStr">
        <is>
          <t>Warehouse Connect</t>
        </is>
      </c>
      <c r="D2" s="18" t="inlineStr">
        <is>
          <t>Enterprise</t>
        </is>
      </c>
      <c r="E2" s="18" t="inlineStr">
        <is>
          <t>A. Okafor</t>
        </is>
      </c>
      <c r="F2" s="20" t="n">
        <v>53100</v>
      </c>
      <c r="G2" s="34" t="inlineStr">
        <is>
          <t>Rebate carried from legacy 10% promo</t>
        </is>
      </c>
    </row>
    <row r="3">
      <c r="A3" s="39" t="inlineStr">
        <is>
          <t>2024-01-11</t>
        </is>
      </c>
      <c r="B3" s="18" t="inlineStr">
        <is>
          <t>LATAM</t>
        </is>
      </c>
      <c r="C3" s="18" t="inlineStr">
        <is>
          <t>Signal Pro</t>
        </is>
      </c>
      <c r="D3" s="18" t="inlineStr">
        <is>
          <t>SMB</t>
        </is>
      </c>
      <c r="E3" s="18" t="inlineStr">
        <is>
          <t>C. Marín</t>
        </is>
      </c>
      <c r="F3" s="20" t="n">
        <v>20900</v>
      </c>
      <c r="G3" s="34" t="inlineStr">
        <is>
          <t>Ramped deal, year one</t>
        </is>
      </c>
    </row>
    <row r="4">
      <c r="A4" s="39" t="inlineStr">
        <is>
          <t>2024-01-18</t>
        </is>
      </c>
      <c r="B4" s="18" t="inlineStr">
        <is>
          <t>LATAM</t>
        </is>
      </c>
      <c r="C4" s="18" t="inlineStr">
        <is>
          <t>Alerts add-on</t>
        </is>
      </c>
      <c r="D4" s="18" t="inlineStr">
        <is>
          <t>Mid-market</t>
        </is>
      </c>
      <c r="E4" s="18" t="inlineStr">
        <is>
          <t>H. Vasquez</t>
        </is>
      </c>
      <c r="F4" s="20" t="n">
        <v>69900</v>
      </c>
      <c r="G4" s="34" t="inlineStr">
        <is>
          <t>Competitive displacement</t>
        </is>
      </c>
    </row>
    <row r="5">
      <c r="A5" s="39" t="inlineStr">
        <is>
          <t>2024-01-25</t>
        </is>
      </c>
      <c r="B5" s="18" t="inlineStr">
        <is>
          <t>APAC</t>
        </is>
      </c>
      <c r="C5" s="18" t="inlineStr">
        <is>
          <t>Embedded Reports</t>
        </is>
      </c>
      <c r="D5" s="18" t="inlineStr">
        <is>
          <t>Enterprise</t>
        </is>
      </c>
      <c r="E5" s="18" t="inlineStr">
        <is>
          <t>B. Lindqvist</t>
        </is>
      </c>
      <c r="F5" s="20" t="n">
        <v>102600</v>
      </c>
      <c r="G5" s="34" t="inlineStr">
        <is>
          <t>Multi-year prepay</t>
        </is>
      </c>
    </row>
    <row r="6">
      <c r="A6" s="39" t="inlineStr">
        <is>
          <t>2024-01-01</t>
        </is>
      </c>
      <c r="B6" s="18" t="inlineStr">
        <is>
          <t>AMER East</t>
        </is>
      </c>
      <c r="C6" s="18" t="inlineStr">
        <is>
          <t>Signal Pro</t>
        </is>
      </c>
      <c r="D6" s="18" t="inlineStr">
        <is>
          <t>SMB</t>
        </is>
      </c>
      <c r="E6" s="18" t="inlineStr">
        <is>
          <t>B. Lindqvist</t>
        </is>
      </c>
      <c r="F6" s="20" t="n">
        <v>11700</v>
      </c>
      <c r="G6" s="34" t="inlineStr">
        <is>
          <t>Multi-year prepay</t>
        </is>
      </c>
    </row>
    <row r="7">
      <c r="A7" s="39" t="inlineStr">
        <is>
          <t>2024-01-08</t>
        </is>
      </c>
      <c r="B7" s="18" t="inlineStr">
        <is>
          <t>EMEA</t>
        </is>
      </c>
      <c r="C7" s="18" t="inlineStr">
        <is>
          <t>Signal Pro</t>
        </is>
      </c>
      <c r="D7" s="18" t="inlineStr">
        <is>
          <t>Enterprise</t>
        </is>
      </c>
      <c r="E7" s="18" t="inlineStr">
        <is>
          <t>A. Okafor</t>
        </is>
      </c>
      <c r="F7" s="20" t="n">
        <v>65700</v>
      </c>
      <c r="G7" s="34" t="inlineStr">
        <is>
          <t>Multi-year prepay</t>
        </is>
      </c>
    </row>
    <row r="8">
      <c r="A8" s="39" t="inlineStr">
        <is>
          <t>2024-01-15</t>
        </is>
      </c>
      <c r="B8" s="18" t="inlineStr">
        <is>
          <t>AMER East</t>
        </is>
      </c>
      <c r="C8" s="18" t="inlineStr">
        <is>
          <t>Alerts add-on</t>
        </is>
      </c>
      <c r="D8" s="18" t="inlineStr">
        <is>
          <t>SMB</t>
        </is>
      </c>
      <c r="E8" s="18" t="inlineStr">
        <is>
          <t>G. Halloran</t>
        </is>
      </c>
      <c r="F8" s="20" t="n">
        <v>70800</v>
      </c>
      <c r="G8" s="34" t="inlineStr">
        <is>
          <t>Co-term with parent</t>
        </is>
      </c>
    </row>
    <row r="9">
      <c r="A9" s="39" t="inlineStr">
        <is>
          <t>2024-01-22</t>
        </is>
      </c>
      <c r="B9" s="18" t="inlineStr">
        <is>
          <t>APAC</t>
        </is>
      </c>
      <c r="C9" s="18" t="inlineStr">
        <is>
          <t>Signal Pro</t>
        </is>
      </c>
      <c r="D9" s="18" t="inlineStr">
        <is>
          <t>Mid-market</t>
        </is>
      </c>
      <c r="E9" s="18" t="inlineStr">
        <is>
          <t>H. Vasquez</t>
        </is>
      </c>
      <c r="F9" s="20" t="n">
        <v>34000</v>
      </c>
      <c r="G9" s="34" t="inlineStr">
        <is>
          <t>Co-term with parent</t>
        </is>
      </c>
    </row>
    <row r="10">
      <c r="A10" s="39" t="inlineStr">
        <is>
          <t>2024-01-29</t>
        </is>
      </c>
      <c r="B10" s="18" t="inlineStr">
        <is>
          <t>LATAM</t>
        </is>
      </c>
      <c r="C10" s="18" t="inlineStr">
        <is>
          <t>Signal Pro</t>
        </is>
      </c>
      <c r="D10" s="18" t="inlineStr">
        <is>
          <t>Enterprise</t>
        </is>
      </c>
      <c r="E10" s="18" t="inlineStr">
        <is>
          <t>H. Vasquez</t>
        </is>
      </c>
      <c r="F10" s="20" t="n">
        <v>38300</v>
      </c>
      <c r="G10" s="34" t="inlineStr">
        <is>
          <t>Pilot converted</t>
        </is>
      </c>
    </row>
    <row r="11">
      <c r="A11" s="39" t="inlineStr">
        <is>
          <t>2024-01-05</t>
        </is>
      </c>
      <c r="B11" s="18" t="inlineStr">
        <is>
          <t>AMER West</t>
        </is>
      </c>
      <c r="C11" s="18" t="inlineStr">
        <is>
          <t>Signal Pro</t>
        </is>
      </c>
      <c r="D11" s="18" t="inlineStr">
        <is>
          <t>SMB</t>
        </is>
      </c>
      <c r="E11" s="18" t="inlineStr">
        <is>
          <t>J. Adeyemi</t>
        </is>
      </c>
      <c r="F11" s="20" t="n">
        <v>125400</v>
      </c>
      <c r="G11" s="34" t="inlineStr">
        <is>
          <t>Co-term with parent</t>
        </is>
      </c>
    </row>
    <row r="12">
      <c r="A12" s="39" t="inlineStr">
        <is>
          <t>2024-01-12</t>
        </is>
      </c>
      <c r="B12" s="18" t="inlineStr">
        <is>
          <t>LATAM</t>
        </is>
      </c>
      <c r="C12" s="18" t="inlineStr">
        <is>
          <t>Warehouse Connect</t>
        </is>
      </c>
      <c r="D12" s="18" t="inlineStr">
        <is>
          <t>SMB</t>
        </is>
      </c>
      <c r="E12" s="18" t="inlineStr">
        <is>
          <t>A. Okafor</t>
        </is>
      </c>
      <c r="F12" s="20" t="n">
        <v>49200</v>
      </c>
      <c r="G12" s="34" t="inlineStr">
        <is>
          <t>Pilot converted</t>
        </is>
      </c>
    </row>
    <row r="13">
      <c r="A13" s="39" t="inlineStr">
        <is>
          <t>2024-01-19</t>
        </is>
      </c>
      <c r="B13" s="18" t="inlineStr">
        <is>
          <t>APAC</t>
        </is>
      </c>
      <c r="C13" s="18" t="inlineStr">
        <is>
          <t>Warehouse Connect</t>
        </is>
      </c>
      <c r="D13" s="18" t="inlineStr">
        <is>
          <t>SMB</t>
        </is>
      </c>
      <c r="E13" s="18" t="inlineStr">
        <is>
          <t>A. Okafor</t>
        </is>
      </c>
      <c r="F13" s="20" t="n">
        <v>78000</v>
      </c>
      <c r="G13" s="34" t="inlineStr">
        <is>
          <t>Renewal uplift 7%</t>
        </is>
      </c>
    </row>
    <row r="14">
      <c r="A14" s="39" t="inlineStr">
        <is>
          <t>2024-01-26</t>
        </is>
      </c>
      <c r="B14" s="18" t="inlineStr">
        <is>
          <t>LATAM</t>
        </is>
      </c>
      <c r="C14" s="18" t="inlineStr">
        <is>
          <t>Embedded Reports</t>
        </is>
      </c>
      <c r="D14" s="18" t="inlineStr">
        <is>
          <t>SMB</t>
        </is>
      </c>
      <c r="E14" s="18" t="inlineStr">
        <is>
          <t>K. Sørensen</t>
        </is>
      </c>
      <c r="F14" s="20" t="n">
        <v>228600</v>
      </c>
      <c r="G14" s="34" t="inlineStr">
        <is>
          <t>Pilot converted</t>
        </is>
      </c>
    </row>
    <row r="15">
      <c r="A15" s="39" t="inlineStr">
        <is>
          <t>2024-01-02</t>
        </is>
      </c>
      <c r="B15" s="18" t="inlineStr">
        <is>
          <t>AMER East</t>
        </is>
      </c>
      <c r="C15" s="18" t="inlineStr">
        <is>
          <t>Signal Pro</t>
        </is>
      </c>
      <c r="D15" s="18" t="inlineStr">
        <is>
          <t>SMB</t>
        </is>
      </c>
      <c r="E15" s="18" t="inlineStr">
        <is>
          <t>F. Duarte</t>
        </is>
      </c>
      <c r="F15" s="20" t="n">
        <v>65000</v>
      </c>
      <c r="G15" s="34" t="inlineStr">
        <is>
          <t>Partner-sourced</t>
        </is>
      </c>
    </row>
    <row r="16">
      <c r="A16" s="39" t="inlineStr">
        <is>
          <t>2024-01-09</t>
        </is>
      </c>
      <c r="B16" s="18" t="inlineStr">
        <is>
          <t>AMER West</t>
        </is>
      </c>
      <c r="C16" s="18" t="inlineStr">
        <is>
          <t>Embedded Reports</t>
        </is>
      </c>
      <c r="D16" s="18" t="inlineStr">
        <is>
          <t>Enterprise</t>
        </is>
      </c>
      <c r="E16" s="18" t="inlineStr">
        <is>
          <t>H. Vasquez</t>
        </is>
      </c>
      <c r="F16" s="20" t="n">
        <v>91400</v>
      </c>
      <c r="G16" s="34" t="inlineStr">
        <is>
          <t>Pilot converted</t>
        </is>
      </c>
    </row>
    <row r="17">
      <c r="A17" s="39" t="inlineStr">
        <is>
          <t>2024-01-16</t>
        </is>
      </c>
      <c r="B17" s="18" t="inlineStr">
        <is>
          <t>LATAM</t>
        </is>
      </c>
      <c r="C17" s="18" t="inlineStr">
        <is>
          <t>Embedded Reports</t>
        </is>
      </c>
      <c r="D17" s="18" t="inlineStr">
        <is>
          <t>Mid-market</t>
        </is>
      </c>
      <c r="E17" s="18" t="inlineStr">
        <is>
          <t>C. Marín</t>
        </is>
      </c>
      <c r="F17" s="20" t="n">
        <v>40200</v>
      </c>
      <c r="G17" s="34" t="inlineStr">
        <is>
          <t>Pilot converted</t>
        </is>
      </c>
    </row>
    <row r="18">
      <c r="A18" s="39" t="inlineStr">
        <is>
          <t>2024-01-23</t>
        </is>
      </c>
      <c r="B18" s="18" t="inlineStr">
        <is>
          <t>APAC</t>
        </is>
      </c>
      <c r="C18" s="18" t="inlineStr">
        <is>
          <t>Alerts add-on</t>
        </is>
      </c>
      <c r="D18" s="18" t="inlineStr">
        <is>
          <t>SMB</t>
        </is>
      </c>
      <c r="E18" s="18" t="inlineStr">
        <is>
          <t>D. Chatterjee</t>
        </is>
      </c>
      <c r="F18" s="20" t="n">
        <v>38700</v>
      </c>
      <c r="G18" s="34" t="inlineStr">
        <is>
          <t>Pilot converted</t>
        </is>
      </c>
    </row>
    <row r="19">
      <c r="A19" s="39" t="inlineStr">
        <is>
          <t>2024-01-30</t>
        </is>
      </c>
      <c r="B19" s="18" t="inlineStr">
        <is>
          <t>AMER West</t>
        </is>
      </c>
      <c r="C19" s="18" t="inlineStr">
        <is>
          <t>Alerts add-on</t>
        </is>
      </c>
      <c r="D19" s="18" t="inlineStr">
        <is>
          <t>SMB</t>
        </is>
      </c>
      <c r="E19" s="18" t="inlineStr">
        <is>
          <t>G. Halloran</t>
        </is>
      </c>
      <c r="F19" s="20" t="n">
        <v>53700</v>
      </c>
      <c r="G19" s="34" t="inlineStr">
        <is>
          <t>Standard list price</t>
        </is>
      </c>
    </row>
    <row r="20">
      <c r="A20" s="39" t="inlineStr">
        <is>
          <t>2024-01-06</t>
        </is>
      </c>
      <c r="B20" s="18" t="inlineStr">
        <is>
          <t>EMEA</t>
        </is>
      </c>
      <c r="C20" s="18" t="inlineStr">
        <is>
          <t>Embedded Reports</t>
        </is>
      </c>
      <c r="D20" s="18" t="inlineStr">
        <is>
          <t>Enterprise</t>
        </is>
      </c>
      <c r="E20" s="18" t="inlineStr">
        <is>
          <t>K. Sørensen</t>
        </is>
      </c>
      <c r="F20" s="20" t="n">
        <v>164400</v>
      </c>
      <c r="G20" s="34" t="inlineStr">
        <is>
          <t>Co-term with parent</t>
        </is>
      </c>
    </row>
    <row r="21">
      <c r="A21" s="39" t="inlineStr">
        <is>
          <t>2024-01-13</t>
        </is>
      </c>
      <c r="B21" s="18" t="inlineStr">
        <is>
          <t>LATAM</t>
        </is>
      </c>
      <c r="C21" s="18" t="inlineStr">
        <is>
          <t>Warehouse Connect</t>
        </is>
      </c>
      <c r="D21" s="18" t="inlineStr">
        <is>
          <t>Mid-market</t>
        </is>
      </c>
      <c r="E21" s="18" t="inlineStr">
        <is>
          <t>B. Lindqvist</t>
        </is>
      </c>
      <c r="F21" s="20" t="n">
        <v>13100</v>
      </c>
      <c r="G21" s="34" t="inlineStr">
        <is>
          <t>Ramped deal, year one</t>
        </is>
      </c>
    </row>
    <row r="22">
      <c r="A22" s="39" t="inlineStr">
        <is>
          <t>2024-01-20</t>
        </is>
      </c>
      <c r="B22" s="18" t="inlineStr">
        <is>
          <t>EMEA</t>
        </is>
      </c>
      <c r="C22" s="18" t="inlineStr">
        <is>
          <t>Signal Pro</t>
        </is>
      </c>
      <c r="D22" s="18" t="inlineStr">
        <is>
          <t>Enterprise</t>
        </is>
      </c>
      <c r="E22" s="18" t="inlineStr">
        <is>
          <t>G. Halloran</t>
        </is>
      </c>
      <c r="F22" s="20" t="n">
        <v>31300</v>
      </c>
      <c r="G22" s="34" t="inlineStr">
        <is>
          <t>Partner-sourced</t>
        </is>
      </c>
    </row>
    <row r="23">
      <c r="A23" s="39" t="inlineStr">
        <is>
          <t>2024-01-27</t>
        </is>
      </c>
      <c r="B23" s="18" t="inlineStr">
        <is>
          <t>EMEA</t>
        </is>
      </c>
      <c r="C23" s="18" t="inlineStr">
        <is>
          <t>Warehouse Connect</t>
        </is>
      </c>
      <c r="D23" s="18" t="inlineStr">
        <is>
          <t>Enterprise</t>
        </is>
      </c>
      <c r="E23" s="18" t="inlineStr">
        <is>
          <t>A. Okafor</t>
        </is>
      </c>
      <c r="F23" s="20" t="n">
        <v>110200</v>
      </c>
      <c r="G23" s="34" t="inlineStr">
        <is>
          <t>Ramped deal, year one</t>
        </is>
      </c>
    </row>
    <row r="24">
      <c r="A24" s="39" t="inlineStr">
        <is>
          <t>2024-01-03</t>
        </is>
      </c>
      <c r="B24" s="18" t="inlineStr">
        <is>
          <t>LATAM</t>
        </is>
      </c>
      <c r="C24" s="18" t="inlineStr">
        <is>
          <t>Signal Core</t>
        </is>
      </c>
      <c r="D24" s="18" t="inlineStr">
        <is>
          <t>Enterprise</t>
        </is>
      </c>
      <c r="E24" s="18" t="inlineStr">
        <is>
          <t>H. Vasquez</t>
        </is>
      </c>
      <c r="F24" s="20" t="n">
        <v>225300</v>
      </c>
      <c r="G24" s="34" t="inlineStr">
        <is>
          <t>Renewal uplift 7%</t>
        </is>
      </c>
    </row>
    <row r="25">
      <c r="A25" s="39" t="inlineStr">
        <is>
          <t>2024-01-10</t>
        </is>
      </c>
      <c r="B25" s="18" t="inlineStr">
        <is>
          <t>LATAM</t>
        </is>
      </c>
      <c r="C25" s="18" t="inlineStr">
        <is>
          <t>Warehouse Connect</t>
        </is>
      </c>
      <c r="D25" s="18" t="inlineStr">
        <is>
          <t>Mid-market</t>
        </is>
      </c>
      <c r="E25" s="18" t="inlineStr">
        <is>
          <t>G. Halloran</t>
        </is>
      </c>
      <c r="F25" s="20" t="n">
        <v>178200</v>
      </c>
      <c r="G25" s="34" t="inlineStr">
        <is>
          <t>Competitive displacement</t>
        </is>
      </c>
    </row>
    <row r="26">
      <c r="A26" s="39" t="inlineStr">
        <is>
          <t>2024-01-17</t>
        </is>
      </c>
      <c r="B26" s="18" t="inlineStr">
        <is>
          <t>EMEA</t>
        </is>
      </c>
      <c r="C26" s="18" t="inlineStr">
        <is>
          <t>Alerts add-on</t>
        </is>
      </c>
      <c r="D26" s="18" t="inlineStr">
        <is>
          <t>SMB</t>
        </is>
      </c>
      <c r="E26" s="18" t="inlineStr">
        <is>
          <t>E. Nakamura</t>
        </is>
      </c>
      <c r="F26" s="20" t="n">
        <v>22300</v>
      </c>
      <c r="G26" s="34" t="inlineStr">
        <is>
          <t>Pilot converted</t>
        </is>
      </c>
    </row>
    <row r="27">
      <c r="A27" s="39" t="inlineStr">
        <is>
          <t>2024-01-24</t>
        </is>
      </c>
      <c r="B27" s="18" t="inlineStr">
        <is>
          <t>AMER West</t>
        </is>
      </c>
      <c r="C27" s="18" t="inlineStr">
        <is>
          <t>Signal Pro</t>
        </is>
      </c>
      <c r="D27" s="18" t="inlineStr">
        <is>
          <t>Mid-market</t>
        </is>
      </c>
      <c r="E27" s="18" t="inlineStr">
        <is>
          <t>E. Nakamura</t>
        </is>
      </c>
      <c r="F27" s="20" t="n">
        <v>26900</v>
      </c>
      <c r="G27" s="34" t="inlineStr">
        <is>
          <t>Ramped deal, year one</t>
        </is>
      </c>
    </row>
    <row r="28">
      <c r="A28" s="39" t="inlineStr">
        <is>
          <t>2024-01-31</t>
        </is>
      </c>
      <c r="B28" s="18" t="inlineStr">
        <is>
          <t>LATAM</t>
        </is>
      </c>
      <c r="C28" s="18" t="inlineStr">
        <is>
          <t>Alerts add-on</t>
        </is>
      </c>
      <c r="D28" s="18" t="inlineStr">
        <is>
          <t>Enterprise</t>
        </is>
      </c>
      <c r="E28" s="18" t="inlineStr">
        <is>
          <t>C. Marín</t>
        </is>
      </c>
      <c r="F28" s="20" t="n">
        <v>73400</v>
      </c>
      <c r="G28" s="34" t="inlineStr">
        <is>
          <t>Pilot converted</t>
        </is>
      </c>
    </row>
    <row r="29">
      <c r="A29" s="39" t="inlineStr">
        <is>
          <t>2024-01-07</t>
        </is>
      </c>
      <c r="B29" s="18" t="inlineStr">
        <is>
          <t>APAC</t>
        </is>
      </c>
      <c r="C29" s="18" t="inlineStr">
        <is>
          <t>Alerts add-on</t>
        </is>
      </c>
      <c r="D29" s="18" t="inlineStr">
        <is>
          <t>SMB</t>
        </is>
      </c>
      <c r="E29" s="18" t="inlineStr">
        <is>
          <t>C. Marín</t>
        </is>
      </c>
      <c r="F29" s="20" t="n">
        <v>65400</v>
      </c>
      <c r="G29" s="34" t="inlineStr">
        <is>
          <t>Renewal uplift 7%</t>
        </is>
      </c>
    </row>
    <row r="30">
      <c r="A30" s="39" t="inlineStr">
        <is>
          <t>2024-01-14</t>
        </is>
      </c>
      <c r="B30" s="18" t="inlineStr">
        <is>
          <t>EMEA</t>
        </is>
      </c>
      <c r="C30" s="18" t="inlineStr">
        <is>
          <t>Signal Core</t>
        </is>
      </c>
      <c r="D30" s="18" t="inlineStr">
        <is>
          <t>Mid-market</t>
        </is>
      </c>
      <c r="E30" s="18" t="inlineStr">
        <is>
          <t>F. Duarte</t>
        </is>
      </c>
      <c r="F30" s="20" t="n">
        <v>26200</v>
      </c>
      <c r="G30" s="34" t="inlineStr">
        <is>
          <t>Co-term with parent</t>
        </is>
      </c>
    </row>
    <row r="31">
      <c r="A31" s="39" t="inlineStr">
        <is>
          <t>2024-01-21</t>
        </is>
      </c>
      <c r="B31" s="18" t="inlineStr">
        <is>
          <t>AMER East</t>
        </is>
      </c>
      <c r="C31" s="18" t="inlineStr">
        <is>
          <t>Signal Pro</t>
        </is>
      </c>
      <c r="D31" s="18" t="inlineStr">
        <is>
          <t>Mid-market</t>
        </is>
      </c>
      <c r="E31" s="18" t="inlineStr">
        <is>
          <t>E. Nakamura</t>
        </is>
      </c>
      <c r="F31" s="20" t="n">
        <v>10000</v>
      </c>
      <c r="G31" s="34" t="inlineStr">
        <is>
          <t>Pilot converted</t>
        </is>
      </c>
    </row>
    <row r="32">
      <c r="A32" s="39" t="inlineStr">
        <is>
          <t>2024-01-28</t>
        </is>
      </c>
      <c r="B32" s="18" t="inlineStr">
        <is>
          <t>LATAM</t>
        </is>
      </c>
      <c r="C32" s="18" t="inlineStr">
        <is>
          <t>Warehouse Connect</t>
        </is>
      </c>
      <c r="D32" s="18" t="inlineStr">
        <is>
          <t>Mid-market</t>
        </is>
      </c>
      <c r="E32" s="18" t="inlineStr">
        <is>
          <t>E. Nakamura</t>
        </is>
      </c>
      <c r="F32" s="20" t="n">
        <v>76100</v>
      </c>
      <c r="G32" s="34" t="inlineStr">
        <is>
          <t>Pilot converted</t>
        </is>
      </c>
    </row>
    <row r="33">
      <c r="A33" s="39" t="inlineStr">
        <is>
          <t>2024-01-04</t>
        </is>
      </c>
      <c r="B33" s="18" t="inlineStr">
        <is>
          <t>AMER East</t>
        </is>
      </c>
      <c r="C33" s="18" t="inlineStr">
        <is>
          <t>Signal Core</t>
        </is>
      </c>
      <c r="D33" s="18" t="inlineStr">
        <is>
          <t>Enterprise</t>
        </is>
      </c>
      <c r="E33" s="18" t="inlineStr">
        <is>
          <t>D. Chatterjee</t>
        </is>
      </c>
      <c r="F33" s="20" t="n">
        <v>74700</v>
      </c>
      <c r="G33" s="34" t="inlineStr">
        <is>
          <t>Co-term with parent</t>
        </is>
      </c>
    </row>
    <row r="34">
      <c r="A34" s="39" t="inlineStr">
        <is>
          <t>2024-01-11</t>
        </is>
      </c>
      <c r="B34" s="18" t="inlineStr">
        <is>
          <t>APAC</t>
        </is>
      </c>
      <c r="C34" s="18" t="inlineStr">
        <is>
          <t>Alerts add-on</t>
        </is>
      </c>
      <c r="D34" s="18" t="inlineStr">
        <is>
          <t>Mid-market</t>
        </is>
      </c>
      <c r="E34" s="18" t="inlineStr">
        <is>
          <t>K. Sørensen</t>
        </is>
      </c>
      <c r="F34" s="20" t="n">
        <v>52700</v>
      </c>
      <c r="G34" s="34" t="inlineStr">
        <is>
          <t>Multi-year prepay</t>
        </is>
      </c>
    </row>
    <row r="35">
      <c r="A35" s="39" t="inlineStr">
        <is>
          <t>2024-01-18</t>
        </is>
      </c>
      <c r="B35" s="18" t="inlineStr">
        <is>
          <t>APAC</t>
        </is>
      </c>
      <c r="C35" s="18" t="inlineStr">
        <is>
          <t>Embedded Reports</t>
        </is>
      </c>
      <c r="D35" s="18" t="inlineStr">
        <is>
          <t>Enterprise</t>
        </is>
      </c>
      <c r="E35" s="18" t="inlineStr">
        <is>
          <t>D. Chatterjee</t>
        </is>
      </c>
      <c r="F35" s="20" t="n">
        <v>133800</v>
      </c>
      <c r="G35" s="34" t="inlineStr">
        <is>
          <t>Ramped deal, year one</t>
        </is>
      </c>
    </row>
    <row r="36">
      <c r="A36" s="39" t="inlineStr">
        <is>
          <t>2024-01-25</t>
        </is>
      </c>
      <c r="B36" s="18" t="inlineStr">
        <is>
          <t>AMER West</t>
        </is>
      </c>
      <c r="C36" s="18" t="inlineStr">
        <is>
          <t>Signal Core</t>
        </is>
      </c>
      <c r="D36" s="18" t="inlineStr">
        <is>
          <t>SMB</t>
        </is>
      </c>
      <c r="E36" s="18" t="inlineStr">
        <is>
          <t>J. Adeyemi</t>
        </is>
      </c>
      <c r="F36" s="20" t="n">
        <v>72200</v>
      </c>
      <c r="G36" s="34" t="inlineStr">
        <is>
          <t>Pilot converted</t>
        </is>
      </c>
    </row>
    <row r="37">
      <c r="A37" s="39" t="inlineStr">
        <is>
          <t>2024-01-01</t>
        </is>
      </c>
      <c r="B37" s="18" t="inlineStr">
        <is>
          <t>EMEA</t>
        </is>
      </c>
      <c r="C37" s="18" t="inlineStr">
        <is>
          <t>Signal Pro</t>
        </is>
      </c>
      <c r="D37" s="18" t="inlineStr">
        <is>
          <t>SMB</t>
        </is>
      </c>
      <c r="E37" s="18" t="inlineStr">
        <is>
          <t>F. Duarte</t>
        </is>
      </c>
      <c r="F37" s="20" t="n">
        <v>109800</v>
      </c>
      <c r="G37" s="34" t="inlineStr">
        <is>
          <t>Partner-sourced</t>
        </is>
      </c>
    </row>
    <row r="38">
      <c r="A38" s="39" t="inlineStr">
        <is>
          <t>2024-01-08</t>
        </is>
      </c>
      <c r="B38" s="18" t="inlineStr">
        <is>
          <t>AMER West</t>
        </is>
      </c>
      <c r="C38" s="18" t="inlineStr">
        <is>
          <t>Embedded Reports</t>
        </is>
      </c>
      <c r="D38" s="18" t="inlineStr">
        <is>
          <t>Mid-market</t>
        </is>
      </c>
      <c r="E38" s="18" t="inlineStr">
        <is>
          <t>G. Halloran</t>
        </is>
      </c>
      <c r="F38" s="20" t="n">
        <v>165300</v>
      </c>
      <c r="G38" s="34" t="inlineStr">
        <is>
          <t>Competitive displacement</t>
        </is>
      </c>
    </row>
    <row r="39">
      <c r="A39" s="39" t="inlineStr">
        <is>
          <t>2024-01-15</t>
        </is>
      </c>
      <c r="B39" s="18" t="inlineStr">
        <is>
          <t>AMER East</t>
        </is>
      </c>
      <c r="C39" s="18" t="inlineStr">
        <is>
          <t>Embedded Reports</t>
        </is>
      </c>
      <c r="D39" s="18" t="inlineStr">
        <is>
          <t>Enterprise</t>
        </is>
      </c>
      <c r="E39" s="18" t="inlineStr">
        <is>
          <t>A. Okafor</t>
        </is>
      </c>
      <c r="F39" s="20" t="n">
        <v>59600</v>
      </c>
      <c r="G39" s="34" t="inlineStr">
        <is>
          <t>Pilot converted</t>
        </is>
      </c>
    </row>
    <row r="40">
      <c r="A40" s="39" t="inlineStr">
        <is>
          <t>2024-01-22</t>
        </is>
      </c>
      <c r="B40" s="18" t="inlineStr">
        <is>
          <t>AMER East</t>
        </is>
      </c>
      <c r="C40" s="18" t="inlineStr">
        <is>
          <t>Embedded Reports</t>
        </is>
      </c>
      <c r="D40" s="18" t="inlineStr">
        <is>
          <t>Enterprise</t>
        </is>
      </c>
      <c r="E40" s="18" t="inlineStr">
        <is>
          <t>J. Adeyemi</t>
        </is>
      </c>
      <c r="F40" s="20" t="n">
        <v>81200</v>
      </c>
      <c r="G40" s="34" t="inlineStr">
        <is>
          <t>Ramped deal, year one</t>
        </is>
      </c>
    </row>
    <row r="41">
      <c r="A41" s="39" t="inlineStr">
        <is>
          <t>2024-01-29</t>
        </is>
      </c>
      <c r="B41" s="18" t="inlineStr">
        <is>
          <t>LATAM</t>
        </is>
      </c>
      <c r="C41" s="18" t="inlineStr">
        <is>
          <t>Signal Pro</t>
        </is>
      </c>
      <c r="D41" s="18" t="inlineStr">
        <is>
          <t>Mid-market</t>
        </is>
      </c>
      <c r="E41" s="18" t="inlineStr">
        <is>
          <t>D. Chatterjee</t>
        </is>
      </c>
      <c r="F41" s="20" t="n">
        <v>12400</v>
      </c>
      <c r="G41" s="34" t="inlineStr">
        <is>
          <t>Co-term with parent</t>
        </is>
      </c>
    </row>
    <row r="42">
      <c r="A42" s="39" t="inlineStr">
        <is>
          <t>2024-01-05</t>
        </is>
      </c>
      <c r="B42" s="18" t="inlineStr">
        <is>
          <t>AMER West</t>
        </is>
      </c>
      <c r="C42" s="18" t="inlineStr">
        <is>
          <t>Signal Core</t>
        </is>
      </c>
      <c r="D42" s="18" t="inlineStr">
        <is>
          <t>Mid-market</t>
        </is>
      </c>
      <c r="E42" s="18" t="inlineStr">
        <is>
          <t>K. Sørensen</t>
        </is>
      </c>
      <c r="F42" s="20" t="n">
        <v>23700</v>
      </c>
      <c r="G42" s="34" t="inlineStr">
        <is>
          <t>Ramped deal, year one</t>
        </is>
      </c>
    </row>
    <row r="43">
      <c r="A43" s="39" t="inlineStr">
        <is>
          <t>2024-01-12</t>
        </is>
      </c>
      <c r="B43" s="18" t="inlineStr">
        <is>
          <t>LATAM</t>
        </is>
      </c>
      <c r="C43" s="18" t="inlineStr">
        <is>
          <t>Signal Pro</t>
        </is>
      </c>
      <c r="D43" s="18" t="inlineStr">
        <is>
          <t>SMB</t>
        </is>
      </c>
      <c r="E43" s="18" t="inlineStr">
        <is>
          <t>C. Marín</t>
        </is>
      </c>
      <c r="F43" s="20" t="n">
        <v>50700</v>
      </c>
      <c r="G43" s="34" t="inlineStr">
        <is>
          <t>Renewal uplift 7%</t>
        </is>
      </c>
    </row>
    <row r="44">
      <c r="A44" s="39" t="inlineStr">
        <is>
          <t>2024-01-19</t>
        </is>
      </c>
      <c r="B44" s="18" t="inlineStr">
        <is>
          <t>AMER East</t>
        </is>
      </c>
      <c r="C44" s="18" t="inlineStr">
        <is>
          <t>Signal Pro</t>
        </is>
      </c>
      <c r="D44" s="18" t="inlineStr">
        <is>
          <t>Enterprise</t>
        </is>
      </c>
      <c r="E44" s="18" t="inlineStr">
        <is>
          <t>G. Halloran</t>
        </is>
      </c>
      <c r="F44" s="20" t="n">
        <v>74200</v>
      </c>
      <c r="G44" s="34" t="inlineStr">
        <is>
          <t>Pilot converted</t>
        </is>
      </c>
    </row>
    <row r="45">
      <c r="A45" s="39" t="inlineStr">
        <is>
          <t>2024-01-26</t>
        </is>
      </c>
      <c r="B45" s="18" t="inlineStr">
        <is>
          <t>EMEA</t>
        </is>
      </c>
      <c r="C45" s="18" t="inlineStr">
        <is>
          <t>Signal Core</t>
        </is>
      </c>
      <c r="D45" s="18" t="inlineStr">
        <is>
          <t>Mid-market</t>
        </is>
      </c>
      <c r="E45" s="18" t="inlineStr">
        <is>
          <t>A. Okafor</t>
        </is>
      </c>
      <c r="F45" s="20" t="n">
        <v>71600</v>
      </c>
      <c r="G45" s="34" t="inlineStr">
        <is>
          <t>Multi-year prepay</t>
        </is>
      </c>
    </row>
    <row r="46">
      <c r="A46" s="39" t="inlineStr">
        <is>
          <t>2024-01-02</t>
        </is>
      </c>
      <c r="B46" s="18" t="inlineStr">
        <is>
          <t>LATAM</t>
        </is>
      </c>
      <c r="C46" s="18" t="inlineStr">
        <is>
          <t>Warehouse Connect</t>
        </is>
      </c>
      <c r="D46" s="18" t="inlineStr">
        <is>
          <t>Enterprise</t>
        </is>
      </c>
      <c r="E46" s="18" t="inlineStr">
        <is>
          <t>G. Halloran</t>
        </is>
      </c>
      <c r="F46" s="20" t="n">
        <v>60400</v>
      </c>
      <c r="G46" s="34" t="inlineStr">
        <is>
          <t>Standard list price</t>
        </is>
      </c>
    </row>
    <row r="47">
      <c r="A47" s="39" t="inlineStr">
        <is>
          <t>2024-01-09</t>
        </is>
      </c>
      <c r="B47" s="18" t="inlineStr">
        <is>
          <t>AMER East</t>
        </is>
      </c>
      <c r="C47" s="18" t="inlineStr">
        <is>
          <t>Signal Pro</t>
        </is>
      </c>
      <c r="D47" s="18" t="inlineStr">
        <is>
          <t>Mid-market</t>
        </is>
      </c>
      <c r="E47" s="18" t="inlineStr">
        <is>
          <t>F. Duarte</t>
        </is>
      </c>
      <c r="F47" s="20" t="n">
        <v>33300</v>
      </c>
      <c r="G47" s="34" t="inlineStr">
        <is>
          <t>Ramped deal, year one</t>
        </is>
      </c>
    </row>
    <row r="48">
      <c r="A48" s="39" t="inlineStr">
        <is>
          <t>2024-01-16</t>
        </is>
      </c>
      <c r="B48" s="18" t="inlineStr">
        <is>
          <t>APAC</t>
        </is>
      </c>
      <c r="C48" s="18" t="inlineStr">
        <is>
          <t>Warehouse Connect</t>
        </is>
      </c>
      <c r="D48" s="18" t="inlineStr">
        <is>
          <t>Enterprise</t>
        </is>
      </c>
      <c r="E48" s="18" t="inlineStr">
        <is>
          <t>E. Nakamura</t>
        </is>
      </c>
      <c r="F48" s="20" t="n">
        <v>44200</v>
      </c>
      <c r="G48" s="34" t="inlineStr">
        <is>
          <t>Standard list price</t>
        </is>
      </c>
    </row>
    <row r="49">
      <c r="A49" s="39" t="inlineStr">
        <is>
          <t>2024-01-23</t>
        </is>
      </c>
      <c r="B49" s="18" t="inlineStr">
        <is>
          <t>EMEA</t>
        </is>
      </c>
      <c r="C49" s="18" t="inlineStr">
        <is>
          <t>Warehouse Connect</t>
        </is>
      </c>
      <c r="D49" s="18" t="inlineStr">
        <is>
          <t>Mid-market</t>
        </is>
      </c>
      <c r="E49" s="18" t="inlineStr">
        <is>
          <t>J. Adeyemi</t>
        </is>
      </c>
      <c r="F49" s="20" t="n">
        <v>65500</v>
      </c>
      <c r="G49" s="34" t="inlineStr">
        <is>
          <t>Multi-year prepay</t>
        </is>
      </c>
    </row>
    <row r="50">
      <c r="A50" s="39" t="inlineStr">
        <is>
          <t>2024-01-30</t>
        </is>
      </c>
      <c r="B50" s="18" t="inlineStr">
        <is>
          <t>AMER East</t>
        </is>
      </c>
      <c r="C50" s="18" t="inlineStr">
        <is>
          <t>Signal Pro</t>
        </is>
      </c>
      <c r="D50" s="18" t="inlineStr">
        <is>
          <t>Mid-market</t>
        </is>
      </c>
      <c r="E50" s="18" t="inlineStr">
        <is>
          <t>H. Vasquez</t>
        </is>
      </c>
      <c r="F50" s="20" t="n">
        <v>68400</v>
      </c>
      <c r="G50" s="34" t="inlineStr">
        <is>
          <t>Co-term with parent</t>
        </is>
      </c>
    </row>
    <row r="51">
      <c r="A51" s="39" t="inlineStr">
        <is>
          <t>2024-01-06</t>
        </is>
      </c>
      <c r="B51" s="18" t="inlineStr">
        <is>
          <t>AMER West</t>
        </is>
      </c>
      <c r="C51" s="18" t="inlineStr">
        <is>
          <t>Signal Pro</t>
        </is>
      </c>
      <c r="D51" s="18" t="inlineStr">
        <is>
          <t>SMB</t>
        </is>
      </c>
      <c r="E51" s="18" t="inlineStr">
        <is>
          <t>G. Halloran</t>
        </is>
      </c>
      <c r="F51" s="20" t="n">
        <v>41200</v>
      </c>
      <c r="G51" s="34" t="inlineStr">
        <is>
          <t>Renewal uplift 7%</t>
        </is>
      </c>
    </row>
    <row r="52">
      <c r="A52" s="39" t="inlineStr">
        <is>
          <t>2024-01-13</t>
        </is>
      </c>
      <c r="B52" s="18" t="inlineStr">
        <is>
          <t>APAC</t>
        </is>
      </c>
      <c r="C52" s="18" t="inlineStr">
        <is>
          <t>Signal Pro</t>
        </is>
      </c>
      <c r="D52" s="18" t="inlineStr">
        <is>
          <t>Mid-market</t>
        </is>
      </c>
      <c r="E52" s="18" t="inlineStr">
        <is>
          <t>H. Vasquez</t>
        </is>
      </c>
      <c r="F52" s="20" t="n">
        <v>196800</v>
      </c>
      <c r="G52" s="34" t="inlineStr">
        <is>
          <t>Partner-sourced</t>
        </is>
      </c>
    </row>
    <row r="53">
      <c r="A53" s="39" t="inlineStr">
        <is>
          <t>2024-01-20</t>
        </is>
      </c>
      <c r="B53" s="18" t="inlineStr">
        <is>
          <t>APAC</t>
        </is>
      </c>
      <c r="C53" s="18" t="inlineStr">
        <is>
          <t>Signal Pro</t>
        </is>
      </c>
      <c r="D53" s="18" t="inlineStr">
        <is>
          <t>Mid-market</t>
        </is>
      </c>
      <c r="E53" s="18" t="inlineStr">
        <is>
          <t>K. Sørensen</t>
        </is>
      </c>
      <c r="F53" s="20" t="n">
        <v>16600</v>
      </c>
      <c r="G53" s="34" t="inlineStr">
        <is>
          <t>Ramped deal, year one</t>
        </is>
      </c>
    </row>
    <row r="54">
      <c r="A54" s="39" t="inlineStr">
        <is>
          <t>2024-01-27</t>
        </is>
      </c>
      <c r="B54" s="18" t="inlineStr">
        <is>
          <t>EMEA</t>
        </is>
      </c>
      <c r="C54" s="18" t="inlineStr">
        <is>
          <t>Alerts add-on</t>
        </is>
      </c>
      <c r="D54" s="18" t="inlineStr">
        <is>
          <t>Enterprise</t>
        </is>
      </c>
      <c r="E54" s="18" t="inlineStr">
        <is>
          <t>A. Okafor</t>
        </is>
      </c>
      <c r="F54" s="20" t="n">
        <v>145800</v>
      </c>
      <c r="G54" s="34" t="inlineStr">
        <is>
          <t>Partner-sourced</t>
        </is>
      </c>
    </row>
    <row r="55">
      <c r="A55" s="39" t="inlineStr">
        <is>
          <t>2024-01-03</t>
        </is>
      </c>
      <c r="B55" s="18" t="inlineStr">
        <is>
          <t>APAC</t>
        </is>
      </c>
      <c r="C55" s="18" t="inlineStr">
        <is>
          <t>Embedded Reports</t>
        </is>
      </c>
      <c r="D55" s="18" t="inlineStr">
        <is>
          <t>Enterprise</t>
        </is>
      </c>
      <c r="E55" s="18" t="inlineStr">
        <is>
          <t>K. Sørensen</t>
        </is>
      </c>
      <c r="F55" s="20" t="n">
        <v>23200</v>
      </c>
      <c r="G55" s="34" t="inlineStr">
        <is>
          <t>Co-term with parent</t>
        </is>
      </c>
    </row>
    <row r="56">
      <c r="A56" s="39" t="inlineStr">
        <is>
          <t>2024-01-10</t>
        </is>
      </c>
      <c r="B56" s="18" t="inlineStr">
        <is>
          <t>EMEA</t>
        </is>
      </c>
      <c r="C56" s="18" t="inlineStr">
        <is>
          <t>Warehouse Connect</t>
        </is>
      </c>
      <c r="D56" s="18" t="inlineStr">
        <is>
          <t>Enterprise</t>
        </is>
      </c>
      <c r="E56" s="18" t="inlineStr">
        <is>
          <t>B. Lindqvist</t>
        </is>
      </c>
      <c r="F56" s="20" t="n">
        <v>74800</v>
      </c>
      <c r="G56" s="34" t="inlineStr">
        <is>
          <t>Competitive displacement</t>
        </is>
      </c>
    </row>
    <row r="57">
      <c r="A57" s="39" t="inlineStr">
        <is>
          <t>2024-01-17</t>
        </is>
      </c>
      <c r="B57" s="18" t="inlineStr">
        <is>
          <t>AMER West</t>
        </is>
      </c>
      <c r="C57" s="18" t="inlineStr">
        <is>
          <t>Warehouse Connect</t>
        </is>
      </c>
      <c r="D57" s="18" t="inlineStr">
        <is>
          <t>Mid-market</t>
        </is>
      </c>
      <c r="E57" s="18" t="inlineStr">
        <is>
          <t>A. Okafor</t>
        </is>
      </c>
      <c r="F57" s="20" t="n">
        <v>77600</v>
      </c>
      <c r="G57" s="34" t="inlineStr">
        <is>
          <t>Standard list price</t>
        </is>
      </c>
    </row>
    <row r="58">
      <c r="A58" s="39" t="inlineStr">
        <is>
          <t>2024-01-24</t>
        </is>
      </c>
      <c r="B58" s="18" t="inlineStr">
        <is>
          <t>EMEA</t>
        </is>
      </c>
      <c r="C58" s="18" t="inlineStr">
        <is>
          <t>Signal Pro</t>
        </is>
      </c>
      <c r="D58" s="18" t="inlineStr">
        <is>
          <t>Mid-market</t>
        </is>
      </c>
      <c r="E58" s="18" t="inlineStr">
        <is>
          <t>G. Halloran</t>
        </is>
      </c>
      <c r="F58" s="20" t="n">
        <v>17400</v>
      </c>
      <c r="G58" s="34" t="inlineStr">
        <is>
          <t>Standard list price</t>
        </is>
      </c>
    </row>
    <row r="59">
      <c r="A59" s="39" t="inlineStr">
        <is>
          <t>2024-01-31</t>
        </is>
      </c>
      <c r="B59" s="18" t="inlineStr">
        <is>
          <t>AMER East</t>
        </is>
      </c>
      <c r="C59" s="18" t="inlineStr">
        <is>
          <t>Embedded Reports</t>
        </is>
      </c>
      <c r="D59" s="18" t="inlineStr">
        <is>
          <t>Enterprise</t>
        </is>
      </c>
      <c r="E59" s="18" t="inlineStr">
        <is>
          <t>H. Vasquez</t>
        </is>
      </c>
      <c r="F59" s="20" t="n">
        <v>35000</v>
      </c>
      <c r="G59" s="34" t="inlineStr">
        <is>
          <t>Competitive displacement</t>
        </is>
      </c>
    </row>
    <row r="60">
      <c r="A60" s="39" t="inlineStr">
        <is>
          <t>2024-01-07</t>
        </is>
      </c>
      <c r="B60" s="18" t="inlineStr">
        <is>
          <t>EMEA</t>
        </is>
      </c>
      <c r="C60" s="18" t="inlineStr">
        <is>
          <t>Signal Pro</t>
        </is>
      </c>
      <c r="D60" s="18" t="inlineStr">
        <is>
          <t>SMB</t>
        </is>
      </c>
      <c r="E60" s="18" t="inlineStr">
        <is>
          <t>B. Lindqvist</t>
        </is>
      </c>
      <c r="F60" s="20" t="n">
        <v>19200</v>
      </c>
      <c r="G60" s="34" t="inlineStr">
        <is>
          <t>Multi-year prepay</t>
        </is>
      </c>
    </row>
    <row r="61">
      <c r="A61" s="39" t="inlineStr">
        <is>
          <t>2024-01-14</t>
        </is>
      </c>
      <c r="B61" s="18" t="inlineStr">
        <is>
          <t>AMER West</t>
        </is>
      </c>
      <c r="C61" s="18" t="inlineStr">
        <is>
          <t>Warehouse Connect</t>
        </is>
      </c>
      <c r="D61" s="18" t="inlineStr">
        <is>
          <t>Mid-market</t>
        </is>
      </c>
      <c r="E61" s="18" t="inlineStr">
        <is>
          <t>A. Okafor</t>
        </is>
      </c>
      <c r="F61" s="20" t="n">
        <v>63800</v>
      </c>
      <c r="G61" s="34" t="inlineStr">
        <is>
          <t>Partner-sourced</t>
        </is>
      </c>
    </row>
    <row r="62">
      <c r="A62" s="39" t="inlineStr">
        <is>
          <t>2024-01-21</t>
        </is>
      </c>
      <c r="B62" s="18" t="inlineStr">
        <is>
          <t>AMER East</t>
        </is>
      </c>
      <c r="C62" s="18" t="inlineStr">
        <is>
          <t>Alerts add-on</t>
        </is>
      </c>
      <c r="D62" s="18" t="inlineStr">
        <is>
          <t>SMB</t>
        </is>
      </c>
      <c r="E62" s="18" t="inlineStr">
        <is>
          <t>A. Okafor</t>
        </is>
      </c>
      <c r="F62" s="20" t="n">
        <v>16000</v>
      </c>
      <c r="G62" s="34" t="inlineStr">
        <is>
          <t>Pilot converted</t>
        </is>
      </c>
    </row>
    <row r="63">
      <c r="A63" s="39" t="inlineStr">
        <is>
          <t>2024-01-28</t>
        </is>
      </c>
      <c r="B63" s="18" t="inlineStr">
        <is>
          <t>AMER West</t>
        </is>
      </c>
      <c r="C63" s="18" t="inlineStr">
        <is>
          <t>Alerts add-on</t>
        </is>
      </c>
      <c r="D63" s="18" t="inlineStr">
        <is>
          <t>Enterprise</t>
        </is>
      </c>
      <c r="E63" s="18" t="inlineStr">
        <is>
          <t>C. Marín</t>
        </is>
      </c>
      <c r="F63" s="20" t="n">
        <v>46500</v>
      </c>
      <c r="G63" s="34" t="inlineStr">
        <is>
          <t>Standard list price</t>
        </is>
      </c>
    </row>
    <row r="64">
      <c r="A64" s="39" t="inlineStr">
        <is>
          <t>2024-01-04</t>
        </is>
      </c>
      <c r="B64" s="18" t="inlineStr">
        <is>
          <t>LATAM</t>
        </is>
      </c>
      <c r="C64" s="18" t="inlineStr">
        <is>
          <t>Alerts add-on</t>
        </is>
      </c>
      <c r="D64" s="18" t="inlineStr">
        <is>
          <t>Mid-market</t>
        </is>
      </c>
      <c r="E64" s="18" t="inlineStr">
        <is>
          <t>H. Vasquez</t>
        </is>
      </c>
      <c r="F64" s="20" t="n">
        <v>12900</v>
      </c>
      <c r="G64" s="34" t="inlineStr">
        <is>
          <t>Renewal uplift 7%</t>
        </is>
      </c>
    </row>
    <row r="65">
      <c r="A65" s="39" t="inlineStr">
        <is>
          <t>2024-01-11</t>
        </is>
      </c>
      <c r="B65" s="18" t="inlineStr">
        <is>
          <t>AMER West</t>
        </is>
      </c>
      <c r="C65" s="18" t="inlineStr">
        <is>
          <t>Signal Pro</t>
        </is>
      </c>
      <c r="D65" s="18" t="inlineStr">
        <is>
          <t>Enterprise</t>
        </is>
      </c>
      <c r="E65" s="18" t="inlineStr">
        <is>
          <t>E. Nakamura</t>
        </is>
      </c>
      <c r="F65" s="20" t="n">
        <v>93600</v>
      </c>
      <c r="G65" s="34" t="inlineStr">
        <is>
          <t>Standard list price</t>
        </is>
      </c>
    </row>
    <row r="66">
      <c r="A66" s="39" t="inlineStr">
        <is>
          <t>2024-01-18</t>
        </is>
      </c>
      <c r="B66" s="18" t="inlineStr">
        <is>
          <t>EMEA</t>
        </is>
      </c>
      <c r="C66" s="18" t="inlineStr">
        <is>
          <t>Warehouse Connect</t>
        </is>
      </c>
      <c r="D66" s="18" t="inlineStr">
        <is>
          <t>Mid-market</t>
        </is>
      </c>
      <c r="E66" s="18" t="inlineStr">
        <is>
          <t>G. Halloran</t>
        </is>
      </c>
      <c r="F66" s="20" t="n">
        <v>54000</v>
      </c>
      <c r="G66" s="34" t="inlineStr">
        <is>
          <t>Competitive displacement</t>
        </is>
      </c>
    </row>
    <row r="67">
      <c r="A67" s="39" t="inlineStr">
        <is>
          <t>2024-01-25</t>
        </is>
      </c>
      <c r="B67" s="18" t="inlineStr">
        <is>
          <t>EMEA</t>
        </is>
      </c>
      <c r="C67" s="18" t="inlineStr">
        <is>
          <t>Embedded Reports</t>
        </is>
      </c>
      <c r="D67" s="18" t="inlineStr">
        <is>
          <t>SMB</t>
        </is>
      </c>
      <c r="E67" s="18" t="inlineStr">
        <is>
          <t>E. Nakamura</t>
        </is>
      </c>
      <c r="F67" s="20" t="n">
        <v>12600</v>
      </c>
      <c r="G67" s="34" t="inlineStr">
        <is>
          <t>Partner-sourced</t>
        </is>
      </c>
    </row>
    <row r="68">
      <c r="A68" s="39" t="inlineStr">
        <is>
          <t>2024-01-01</t>
        </is>
      </c>
      <c r="B68" s="18" t="inlineStr">
        <is>
          <t>AMER East</t>
        </is>
      </c>
      <c r="C68" s="18" t="inlineStr">
        <is>
          <t>Signal Core</t>
        </is>
      </c>
      <c r="D68" s="18" t="inlineStr">
        <is>
          <t>Enterprise</t>
        </is>
      </c>
      <c r="E68" s="18" t="inlineStr">
        <is>
          <t>F. Duarte</t>
        </is>
      </c>
      <c r="F68" s="20" t="n">
        <v>152200</v>
      </c>
      <c r="G68" s="34" t="inlineStr">
        <is>
          <t>Standard list price</t>
        </is>
      </c>
    </row>
    <row r="69">
      <c r="A69" s="39" t="inlineStr">
        <is>
          <t>2024-01-08</t>
        </is>
      </c>
      <c r="B69" s="18" t="inlineStr">
        <is>
          <t>EMEA</t>
        </is>
      </c>
      <c r="C69" s="18" t="inlineStr">
        <is>
          <t>Alerts add-on</t>
        </is>
      </c>
      <c r="D69" s="18" t="inlineStr">
        <is>
          <t>Mid-market</t>
        </is>
      </c>
      <c r="E69" s="18" t="inlineStr">
        <is>
          <t>G. Halloran</t>
        </is>
      </c>
      <c r="F69" s="20" t="n">
        <v>119400</v>
      </c>
      <c r="G69" s="34" t="inlineStr">
        <is>
          <t>Co-term with parent</t>
        </is>
      </c>
    </row>
    <row r="70">
      <c r="A70" s="39" t="inlineStr">
        <is>
          <t>2024-01-15</t>
        </is>
      </c>
      <c r="B70" s="18" t="inlineStr">
        <is>
          <t>LATAM</t>
        </is>
      </c>
      <c r="C70" s="18" t="inlineStr">
        <is>
          <t>Signal Pro</t>
        </is>
      </c>
      <c r="D70" s="18" t="inlineStr">
        <is>
          <t>SMB</t>
        </is>
      </c>
      <c r="E70" s="18" t="inlineStr">
        <is>
          <t>E. Nakamura</t>
        </is>
      </c>
      <c r="F70" s="20" t="n">
        <v>135000</v>
      </c>
      <c r="G70" s="34" t="inlineStr">
        <is>
          <t>Standard list price</t>
        </is>
      </c>
    </row>
    <row r="71">
      <c r="A71" s="39" t="inlineStr">
        <is>
          <t>2024-01-22</t>
        </is>
      </c>
      <c r="B71" s="18" t="inlineStr">
        <is>
          <t>AMER East</t>
        </is>
      </c>
      <c r="C71" s="18" t="inlineStr">
        <is>
          <t>Signal Core</t>
        </is>
      </c>
      <c r="D71" s="18" t="inlineStr">
        <is>
          <t>Mid-market</t>
        </is>
      </c>
      <c r="E71" s="18" t="inlineStr">
        <is>
          <t>H. Vasquez</t>
        </is>
      </c>
      <c r="F71" s="20" t="n">
        <v>56300</v>
      </c>
      <c r="G71" s="34" t="inlineStr">
        <is>
          <t>Multi-year prepay</t>
        </is>
      </c>
    </row>
    <row r="72">
      <c r="A72" s="39" t="inlineStr">
        <is>
          <t>2024-01-29</t>
        </is>
      </c>
      <c r="B72" s="18" t="inlineStr">
        <is>
          <t>APAC</t>
        </is>
      </c>
      <c r="C72" s="18" t="inlineStr">
        <is>
          <t>Signal Core</t>
        </is>
      </c>
      <c r="D72" s="18" t="inlineStr">
        <is>
          <t>Mid-market</t>
        </is>
      </c>
      <c r="E72" s="18" t="inlineStr">
        <is>
          <t>F. Duarte</t>
        </is>
      </c>
      <c r="F72" s="20" t="n">
        <v>36500</v>
      </c>
      <c r="G72" s="34" t="inlineStr">
        <is>
          <t>Renewal uplift 7%</t>
        </is>
      </c>
    </row>
    <row r="73">
      <c r="A73" s="39" t="inlineStr">
        <is>
          <t>2024-01-05</t>
        </is>
      </c>
      <c r="B73" s="18" t="inlineStr">
        <is>
          <t>EMEA</t>
        </is>
      </c>
      <c r="C73" s="18" t="inlineStr">
        <is>
          <t>Signal Pro</t>
        </is>
      </c>
      <c r="D73" s="18" t="inlineStr">
        <is>
          <t>Mid-market</t>
        </is>
      </c>
      <c r="E73" s="18" t="inlineStr">
        <is>
          <t>F. Duarte</t>
        </is>
      </c>
      <c r="F73" s="20" t="n">
        <v>36800</v>
      </c>
      <c r="G73" s="34" t="inlineStr">
        <is>
          <t>Ramped deal, year one</t>
        </is>
      </c>
    </row>
    <row r="74">
      <c r="A74" s="39" t="inlineStr">
        <is>
          <t>2024-01-12</t>
        </is>
      </c>
      <c r="B74" s="18" t="inlineStr">
        <is>
          <t>AMER West</t>
        </is>
      </c>
      <c r="C74" s="18" t="inlineStr">
        <is>
          <t>Signal Pro</t>
        </is>
      </c>
      <c r="D74" s="18" t="inlineStr">
        <is>
          <t>Enterprise</t>
        </is>
      </c>
      <c r="E74" s="18" t="inlineStr">
        <is>
          <t>E. Nakamura</t>
        </is>
      </c>
      <c r="F74" s="20" t="n">
        <v>184200</v>
      </c>
      <c r="G74" s="34" t="inlineStr">
        <is>
          <t>Ramped deal, year one</t>
        </is>
      </c>
    </row>
    <row r="75">
      <c r="A75" s="39" t="inlineStr">
        <is>
          <t>2024-01-19</t>
        </is>
      </c>
      <c r="B75" s="18" t="inlineStr">
        <is>
          <t>LATAM</t>
        </is>
      </c>
      <c r="C75" s="18" t="inlineStr">
        <is>
          <t>Alerts add-on</t>
        </is>
      </c>
      <c r="D75" s="18" t="inlineStr">
        <is>
          <t>Mid-market</t>
        </is>
      </c>
      <c r="E75" s="18" t="inlineStr">
        <is>
          <t>J. Adeyemi</t>
        </is>
      </c>
      <c r="F75" s="20" t="n">
        <v>60900</v>
      </c>
      <c r="G75" s="34" t="inlineStr">
        <is>
          <t>Co-term with parent</t>
        </is>
      </c>
    </row>
    <row r="76">
      <c r="A76" s="39" t="inlineStr">
        <is>
          <t>2024-01-26</t>
        </is>
      </c>
      <c r="B76" s="18" t="inlineStr">
        <is>
          <t>AMER East</t>
        </is>
      </c>
      <c r="C76" s="18" t="inlineStr">
        <is>
          <t>Alerts add-on</t>
        </is>
      </c>
      <c r="D76" s="18" t="inlineStr">
        <is>
          <t>Mid-market</t>
        </is>
      </c>
      <c r="E76" s="18" t="inlineStr">
        <is>
          <t>K. Sørensen</t>
        </is>
      </c>
      <c r="F76" s="20" t="n">
        <v>198000</v>
      </c>
      <c r="G76" s="34" t="inlineStr">
        <is>
          <t>Competitive displacement</t>
        </is>
      </c>
    </row>
    <row r="77">
      <c r="A77" s="39" t="inlineStr">
        <is>
          <t>2024-01-02</t>
        </is>
      </c>
      <c r="B77" s="18" t="inlineStr">
        <is>
          <t>LATAM</t>
        </is>
      </c>
      <c r="C77" s="18" t="inlineStr">
        <is>
          <t>Signal Core</t>
        </is>
      </c>
      <c r="D77" s="18" t="inlineStr">
        <is>
          <t>Mid-market</t>
        </is>
      </c>
      <c r="E77" s="18" t="inlineStr">
        <is>
          <t>J. Adeyemi</t>
        </is>
      </c>
      <c r="F77" s="20" t="n">
        <v>48100</v>
      </c>
      <c r="G77" s="34" t="inlineStr">
        <is>
          <t>Co-term with parent</t>
        </is>
      </c>
    </row>
    <row r="78">
      <c r="A78" s="39" t="inlineStr">
        <is>
          <t>2024-01-09</t>
        </is>
      </c>
      <c r="B78" s="18" t="inlineStr">
        <is>
          <t>APAC</t>
        </is>
      </c>
      <c r="C78" s="18" t="inlineStr">
        <is>
          <t>Signal Pro</t>
        </is>
      </c>
      <c r="D78" s="18" t="inlineStr">
        <is>
          <t>Enterprise</t>
        </is>
      </c>
      <c r="E78" s="18" t="inlineStr">
        <is>
          <t>G. Halloran</t>
        </is>
      </c>
      <c r="F78" s="20" t="n">
        <v>22900</v>
      </c>
      <c r="G78" s="34" t="inlineStr">
        <is>
          <t>Standard list price</t>
        </is>
      </c>
    </row>
    <row r="79">
      <c r="A79" s="39" t="inlineStr">
        <is>
          <t>2024-01-16</t>
        </is>
      </c>
      <c r="B79" s="18" t="inlineStr">
        <is>
          <t>AMER West</t>
        </is>
      </c>
      <c r="C79" s="18" t="inlineStr">
        <is>
          <t>Signal Core</t>
        </is>
      </c>
      <c r="D79" s="18" t="inlineStr">
        <is>
          <t>Enterprise</t>
        </is>
      </c>
      <c r="E79" s="18" t="inlineStr">
        <is>
          <t>K. Sørensen</t>
        </is>
      </c>
      <c r="F79" s="20" t="n">
        <v>41300</v>
      </c>
      <c r="G79" s="34" t="inlineStr">
        <is>
          <t>Standard list price</t>
        </is>
      </c>
    </row>
    <row r="80">
      <c r="A80" s="39" t="inlineStr">
        <is>
          <t>2024-01-23</t>
        </is>
      </c>
      <c r="B80" s="18" t="inlineStr">
        <is>
          <t>AMER West</t>
        </is>
      </c>
      <c r="C80" s="18" t="inlineStr">
        <is>
          <t>Alerts add-on</t>
        </is>
      </c>
      <c r="D80" s="18" t="inlineStr">
        <is>
          <t>SMB</t>
        </is>
      </c>
      <c r="E80" s="18" t="inlineStr">
        <is>
          <t>A. Okafor</t>
        </is>
      </c>
      <c r="F80" s="20" t="n">
        <v>36100</v>
      </c>
      <c r="G80" s="34" t="inlineStr">
        <is>
          <t>Partner-sourced</t>
        </is>
      </c>
    </row>
    <row r="81">
      <c r="A81" s="39" t="inlineStr">
        <is>
          <t>2024-01-30</t>
        </is>
      </c>
      <c r="B81" s="18" t="inlineStr">
        <is>
          <t>LATAM</t>
        </is>
      </c>
      <c r="C81" s="18" t="inlineStr">
        <is>
          <t>Warehouse Connect</t>
        </is>
      </c>
      <c r="D81" s="18" t="inlineStr">
        <is>
          <t>Enterprise</t>
        </is>
      </c>
      <c r="E81" s="18" t="inlineStr">
        <is>
          <t>C. Marín</t>
        </is>
      </c>
      <c r="F81" s="20" t="n">
        <v>61300</v>
      </c>
      <c r="G81" s="34" t="inlineStr">
        <is>
          <t>Partner-sourced</t>
        </is>
      </c>
    </row>
    <row r="82">
      <c r="A82" s="39" t="inlineStr">
        <is>
          <t>2024-01-06</t>
        </is>
      </c>
      <c r="B82" s="18" t="inlineStr">
        <is>
          <t>AMER East</t>
        </is>
      </c>
      <c r="C82" s="18" t="inlineStr">
        <is>
          <t>Alerts add-on</t>
        </is>
      </c>
      <c r="D82" s="18" t="inlineStr">
        <is>
          <t>Mid-market</t>
        </is>
      </c>
      <c r="E82" s="18" t="inlineStr">
        <is>
          <t>H. Vasquez</t>
        </is>
      </c>
      <c r="F82" s="20" t="n">
        <v>59500</v>
      </c>
      <c r="G82" s="34" t="inlineStr">
        <is>
          <t>Renewal uplift 7%</t>
        </is>
      </c>
    </row>
    <row r="83">
      <c r="A83" s="39" t="inlineStr">
        <is>
          <t>2024-01-13</t>
        </is>
      </c>
      <c r="B83" s="18" t="inlineStr">
        <is>
          <t>EMEA</t>
        </is>
      </c>
      <c r="C83" s="18" t="inlineStr">
        <is>
          <t>Signal Core</t>
        </is>
      </c>
      <c r="D83" s="18" t="inlineStr">
        <is>
          <t>Mid-market</t>
        </is>
      </c>
      <c r="E83" s="18" t="inlineStr">
        <is>
          <t>B. Lindqvist</t>
        </is>
      </c>
      <c r="F83" s="20" t="n">
        <v>30000</v>
      </c>
      <c r="G83" s="34" t="inlineStr">
        <is>
          <t>Pilot converted</t>
        </is>
      </c>
    </row>
    <row r="84">
      <c r="A84" s="39" t="inlineStr">
        <is>
          <t>2024-01-20</t>
        </is>
      </c>
      <c r="B84" s="18" t="inlineStr">
        <is>
          <t>AMER West</t>
        </is>
      </c>
      <c r="C84" s="18" t="inlineStr">
        <is>
          <t>Signal Core</t>
        </is>
      </c>
      <c r="D84" s="18" t="inlineStr">
        <is>
          <t>Enterprise</t>
        </is>
      </c>
      <c r="E84" s="18" t="inlineStr">
        <is>
          <t>B. Lindqvist</t>
        </is>
      </c>
      <c r="F84" s="20" t="n">
        <v>35200</v>
      </c>
      <c r="G84" s="34" t="inlineStr">
        <is>
          <t>Pilot converted</t>
        </is>
      </c>
    </row>
    <row r="85">
      <c r="A85" s="39" t="inlineStr">
        <is>
          <t>2024-01-27</t>
        </is>
      </c>
      <c r="B85" s="18" t="inlineStr">
        <is>
          <t>LATAM</t>
        </is>
      </c>
      <c r="C85" s="18" t="inlineStr">
        <is>
          <t>Signal Pro</t>
        </is>
      </c>
      <c r="D85" s="18" t="inlineStr">
        <is>
          <t>Mid-market</t>
        </is>
      </c>
      <c r="E85" s="18" t="inlineStr">
        <is>
          <t>E. Nakamura</t>
        </is>
      </c>
      <c r="F85" s="20" t="n">
        <v>42200</v>
      </c>
      <c r="G85" s="34" t="inlineStr">
        <is>
          <t>Ramped deal, year one</t>
        </is>
      </c>
    </row>
    <row r="86">
      <c r="A86" s="39" t="inlineStr">
        <is>
          <t>2024-01-03</t>
        </is>
      </c>
      <c r="B86" s="18" t="inlineStr">
        <is>
          <t>EMEA</t>
        </is>
      </c>
      <c r="C86" s="18" t="inlineStr">
        <is>
          <t>Signal Pro</t>
        </is>
      </c>
      <c r="D86" s="18" t="inlineStr">
        <is>
          <t>Mid-market</t>
        </is>
      </c>
      <c r="E86" s="18" t="inlineStr">
        <is>
          <t>B. Lindqvist</t>
        </is>
      </c>
      <c r="F86" s="20" t="n">
        <v>162600</v>
      </c>
      <c r="G86" s="34" t="inlineStr">
        <is>
          <t>Co-term with parent</t>
        </is>
      </c>
    </row>
    <row r="87">
      <c r="A87" s="39" t="inlineStr">
        <is>
          <t>2024-01-10</t>
        </is>
      </c>
      <c r="B87" s="18" t="inlineStr">
        <is>
          <t>AMER West</t>
        </is>
      </c>
      <c r="C87" s="18" t="inlineStr">
        <is>
          <t>Warehouse Connect</t>
        </is>
      </c>
      <c r="D87" s="18" t="inlineStr">
        <is>
          <t>Mid-market</t>
        </is>
      </c>
      <c r="E87" s="18" t="inlineStr">
        <is>
          <t>E. Nakamura</t>
        </is>
      </c>
      <c r="F87" s="20" t="n">
        <v>68400</v>
      </c>
      <c r="G87" s="34" t="inlineStr">
        <is>
          <t>Ramped deal, year one</t>
        </is>
      </c>
    </row>
    <row r="88">
      <c r="A88" s="39" t="inlineStr">
        <is>
          <t>2024-01-17</t>
        </is>
      </c>
      <c r="B88" s="18" t="inlineStr">
        <is>
          <t>AMER West</t>
        </is>
      </c>
      <c r="C88" s="18" t="inlineStr">
        <is>
          <t>Embedded Reports</t>
        </is>
      </c>
      <c r="D88" s="18" t="inlineStr">
        <is>
          <t>Enterprise</t>
        </is>
      </c>
      <c r="E88" s="18" t="inlineStr">
        <is>
          <t>F. Duarte</t>
        </is>
      </c>
      <c r="F88" s="20" t="n">
        <v>25000</v>
      </c>
      <c r="G88" s="34" t="inlineStr">
        <is>
          <t>Multi-year prepay</t>
        </is>
      </c>
    </row>
    <row r="89">
      <c r="A89" s="39" t="inlineStr">
        <is>
          <t>2024-01-24</t>
        </is>
      </c>
      <c r="B89" s="18" t="inlineStr">
        <is>
          <t>EMEA</t>
        </is>
      </c>
      <c r="C89" s="18" t="inlineStr">
        <is>
          <t>Signal Core</t>
        </is>
      </c>
      <c r="D89" s="18" t="inlineStr">
        <is>
          <t>Enterprise</t>
        </is>
      </c>
      <c r="E89" s="18" t="inlineStr">
        <is>
          <t>H. Vasquez</t>
        </is>
      </c>
      <c r="F89" s="20" t="n">
        <v>53200</v>
      </c>
      <c r="G89" s="34" t="inlineStr">
        <is>
          <t>Partner-sourced</t>
        </is>
      </c>
    </row>
    <row r="90">
      <c r="A90" s="39" t="inlineStr">
        <is>
          <t>2024-01-31</t>
        </is>
      </c>
      <c r="B90" s="18" t="inlineStr">
        <is>
          <t>AMER West</t>
        </is>
      </c>
      <c r="C90" s="18" t="inlineStr">
        <is>
          <t>Signal Core</t>
        </is>
      </c>
      <c r="D90" s="18" t="inlineStr">
        <is>
          <t>Mid-market</t>
        </is>
      </c>
      <c r="E90" s="18" t="inlineStr">
        <is>
          <t>C. Marín</t>
        </is>
      </c>
      <c r="F90" s="20" t="n">
        <v>26600</v>
      </c>
      <c r="G90" s="34" t="inlineStr">
        <is>
          <t>Competitive displacement</t>
        </is>
      </c>
    </row>
    <row r="91">
      <c r="A91" s="39" t="inlineStr">
        <is>
          <t>2024-01-07</t>
        </is>
      </c>
      <c r="B91" s="18" t="inlineStr">
        <is>
          <t>AMER West</t>
        </is>
      </c>
      <c r="C91" s="18" t="inlineStr">
        <is>
          <t>Alerts add-on</t>
        </is>
      </c>
      <c r="D91" s="18" t="inlineStr">
        <is>
          <t>Enterprise</t>
        </is>
      </c>
      <c r="E91" s="18" t="inlineStr">
        <is>
          <t>C. Marín</t>
        </is>
      </c>
      <c r="F91" s="20" t="n">
        <v>93800</v>
      </c>
      <c r="G91" s="34" t="inlineStr">
        <is>
          <t>Competitive displacement</t>
        </is>
      </c>
    </row>
    <row r="92">
      <c r="A92" s="39" t="inlineStr">
        <is>
          <t>2024-01-14</t>
        </is>
      </c>
      <c r="B92" s="18" t="inlineStr">
        <is>
          <t>AMER West</t>
        </is>
      </c>
      <c r="C92" s="18" t="inlineStr">
        <is>
          <t>Signal Core</t>
        </is>
      </c>
      <c r="D92" s="18" t="inlineStr">
        <is>
          <t>Enterprise</t>
        </is>
      </c>
      <c r="E92" s="18" t="inlineStr">
        <is>
          <t>H. Vasquez</t>
        </is>
      </c>
      <c r="F92" s="20" t="n">
        <v>40100</v>
      </c>
      <c r="G92" s="34" t="inlineStr">
        <is>
          <t>Partner-sourced</t>
        </is>
      </c>
    </row>
    <row r="93">
      <c r="A93" s="39" t="inlineStr">
        <is>
          <t>2024-01-21</t>
        </is>
      </c>
      <c r="B93" s="18" t="inlineStr">
        <is>
          <t>EMEA</t>
        </is>
      </c>
      <c r="C93" s="18" t="inlineStr">
        <is>
          <t>Warehouse Connect</t>
        </is>
      </c>
      <c r="D93" s="18" t="inlineStr">
        <is>
          <t>Enterprise</t>
        </is>
      </c>
      <c r="E93" s="18" t="inlineStr">
        <is>
          <t>H. Vasquez</t>
        </is>
      </c>
      <c r="F93" s="20" t="n">
        <v>54500</v>
      </c>
      <c r="G93" s="34" t="inlineStr">
        <is>
          <t>Pilot converted</t>
        </is>
      </c>
    </row>
    <row r="94">
      <c r="A94" s="39" t="inlineStr">
        <is>
          <t>2024-01-28</t>
        </is>
      </c>
      <c r="B94" s="18" t="inlineStr">
        <is>
          <t>APAC</t>
        </is>
      </c>
      <c r="C94" s="18" t="inlineStr">
        <is>
          <t>Signal Core</t>
        </is>
      </c>
      <c r="D94" s="18" t="inlineStr">
        <is>
          <t>SMB</t>
        </is>
      </c>
      <c r="E94" s="18" t="inlineStr">
        <is>
          <t>B. Lindqvist</t>
        </is>
      </c>
      <c r="F94" s="20" t="n">
        <v>155000</v>
      </c>
      <c r="G94" s="34" t="inlineStr">
        <is>
          <t>Partner-sourced</t>
        </is>
      </c>
    </row>
    <row r="95">
      <c r="A95" s="39" t="inlineStr">
        <is>
          <t>2024-01-04</t>
        </is>
      </c>
      <c r="B95" s="18" t="inlineStr">
        <is>
          <t>LATAM</t>
        </is>
      </c>
      <c r="C95" s="18" t="inlineStr">
        <is>
          <t>Warehouse Connect</t>
        </is>
      </c>
      <c r="D95" s="18" t="inlineStr">
        <is>
          <t>Enterprise</t>
        </is>
      </c>
      <c r="E95" s="18" t="inlineStr">
        <is>
          <t>D. Chatterjee</t>
        </is>
      </c>
      <c r="F95" s="20" t="n">
        <v>13500</v>
      </c>
      <c r="G95" s="34" t="inlineStr">
        <is>
          <t>Pilot converted</t>
        </is>
      </c>
    </row>
    <row r="96">
      <c r="A96" s="39" t="inlineStr">
        <is>
          <t>2024-01-11</t>
        </is>
      </c>
      <c r="B96" s="18" t="inlineStr">
        <is>
          <t>EMEA</t>
        </is>
      </c>
      <c r="C96" s="18" t="inlineStr">
        <is>
          <t>Signal Core</t>
        </is>
      </c>
      <c r="D96" s="18" t="inlineStr">
        <is>
          <t>Enterprise</t>
        </is>
      </c>
      <c r="E96" s="18" t="inlineStr">
        <is>
          <t>A. Okafor</t>
        </is>
      </c>
      <c r="F96" s="20" t="n">
        <v>54100</v>
      </c>
      <c r="G96" s="34" t="inlineStr">
        <is>
          <t>Ramped deal, year one</t>
        </is>
      </c>
    </row>
    <row r="97">
      <c r="A97" s="39" t="inlineStr">
        <is>
          <t>2024-01-18</t>
        </is>
      </c>
      <c r="B97" s="18" t="inlineStr">
        <is>
          <t>LATAM</t>
        </is>
      </c>
      <c r="C97" s="18" t="inlineStr">
        <is>
          <t>Warehouse Connect</t>
        </is>
      </c>
      <c r="D97" s="18" t="inlineStr">
        <is>
          <t>Enterprise</t>
        </is>
      </c>
      <c r="E97" s="18" t="inlineStr">
        <is>
          <t>K. Sørensen</t>
        </is>
      </c>
      <c r="F97" s="20" t="n">
        <v>180600</v>
      </c>
      <c r="G97" s="34" t="inlineStr">
        <is>
          <t>Co-term with parent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2024-02-07</t>
        </is>
      </c>
      <c r="B2" s="18" t="inlineStr">
        <is>
          <t>LATAM</t>
        </is>
      </c>
      <c r="C2" s="18" t="inlineStr">
        <is>
          <t>Signal Core</t>
        </is>
      </c>
      <c r="D2" s="18" t="inlineStr">
        <is>
          <t>Enterprise</t>
        </is>
      </c>
      <c r="E2" s="18" t="inlineStr">
        <is>
          <t>G. Halloran</t>
        </is>
      </c>
      <c r="F2" s="20" t="n">
        <v>116400</v>
      </c>
      <c r="G2" s="34" t="inlineStr">
        <is>
          <t>Rebate carried from legacy 10% promo</t>
        </is>
      </c>
    </row>
    <row r="3">
      <c r="A3" s="39" t="inlineStr">
        <is>
          <t>2024-02-14</t>
        </is>
      </c>
      <c r="B3" s="18" t="inlineStr">
        <is>
          <t>AMER East</t>
        </is>
      </c>
      <c r="C3" s="18" t="inlineStr">
        <is>
          <t>Embedded Reports</t>
        </is>
      </c>
      <c r="D3" s="18" t="inlineStr">
        <is>
          <t>Mid-market</t>
        </is>
      </c>
      <c r="E3" s="18" t="inlineStr">
        <is>
          <t>F. Duarte</t>
        </is>
      </c>
      <c r="F3" s="20" t="n">
        <v>18000</v>
      </c>
      <c r="G3" s="34" t="inlineStr">
        <is>
          <t>Co-term with parent</t>
        </is>
      </c>
    </row>
    <row r="4">
      <c r="A4" s="39" t="inlineStr">
        <is>
          <t>2024-02-21</t>
        </is>
      </c>
      <c r="B4" s="18" t="inlineStr">
        <is>
          <t>APAC</t>
        </is>
      </c>
      <c r="C4" s="18" t="inlineStr">
        <is>
          <t>Warehouse Connect</t>
        </is>
      </c>
      <c r="D4" s="18" t="inlineStr">
        <is>
          <t>Mid-market</t>
        </is>
      </c>
      <c r="E4" s="18" t="inlineStr">
        <is>
          <t>G. Halloran</t>
        </is>
      </c>
      <c r="F4" s="20" t="n">
        <v>76200</v>
      </c>
      <c r="G4" s="34" t="inlineStr">
        <is>
          <t>Partner-sourced</t>
        </is>
      </c>
    </row>
    <row r="5">
      <c r="A5" s="39" t="inlineStr">
        <is>
          <t>2024-02-28</t>
        </is>
      </c>
      <c r="B5" s="18" t="inlineStr">
        <is>
          <t>AMER West</t>
        </is>
      </c>
      <c r="C5" s="18" t="inlineStr">
        <is>
          <t>Alerts add-on</t>
        </is>
      </c>
      <c r="D5" s="18" t="inlineStr">
        <is>
          <t>Mid-market</t>
        </is>
      </c>
      <c r="E5" s="18" t="inlineStr">
        <is>
          <t>G. Halloran</t>
        </is>
      </c>
      <c r="F5" s="20" t="n">
        <v>60500</v>
      </c>
      <c r="G5" s="34" t="inlineStr">
        <is>
          <t>Partner-sourced</t>
        </is>
      </c>
    </row>
    <row r="6">
      <c r="A6" s="39" t="inlineStr">
        <is>
          <t>2024-02-06</t>
        </is>
      </c>
      <c r="B6" s="18" t="inlineStr">
        <is>
          <t>AMER East</t>
        </is>
      </c>
      <c r="C6" s="18" t="inlineStr">
        <is>
          <t>Warehouse Connect</t>
        </is>
      </c>
      <c r="D6" s="18" t="inlineStr">
        <is>
          <t>SMB</t>
        </is>
      </c>
      <c r="E6" s="18" t="inlineStr">
        <is>
          <t>D. Chatterjee</t>
        </is>
      </c>
      <c r="F6" s="20" t="n">
        <v>50100</v>
      </c>
      <c r="G6" s="34" t="inlineStr">
        <is>
          <t>Multi-year prepay</t>
        </is>
      </c>
    </row>
    <row r="7">
      <c r="A7" s="39" t="inlineStr">
        <is>
          <t>2024-02-13</t>
        </is>
      </c>
      <c r="B7" s="18" t="inlineStr">
        <is>
          <t>AMER East</t>
        </is>
      </c>
      <c r="C7" s="18" t="inlineStr">
        <is>
          <t>Alerts add-on</t>
        </is>
      </c>
      <c r="D7" s="18" t="inlineStr">
        <is>
          <t>Mid-market</t>
        </is>
      </c>
      <c r="E7" s="18" t="inlineStr">
        <is>
          <t>C. Marín</t>
        </is>
      </c>
      <c r="F7" s="20" t="n">
        <v>29700</v>
      </c>
      <c r="G7" s="34" t="inlineStr">
        <is>
          <t>Pilot converted</t>
        </is>
      </c>
    </row>
    <row r="8">
      <c r="A8" s="39" t="inlineStr">
        <is>
          <t>2024-02-20</t>
        </is>
      </c>
      <c r="B8" s="18" t="inlineStr">
        <is>
          <t>EMEA</t>
        </is>
      </c>
      <c r="C8" s="18" t="inlineStr">
        <is>
          <t>Embedded Reports</t>
        </is>
      </c>
      <c r="D8" s="18" t="inlineStr">
        <is>
          <t>SMB</t>
        </is>
      </c>
      <c r="E8" s="18" t="inlineStr">
        <is>
          <t>F. Duarte</t>
        </is>
      </c>
      <c r="F8" s="20" t="n">
        <v>191100</v>
      </c>
      <c r="G8" s="34" t="inlineStr">
        <is>
          <t>Standard list price</t>
        </is>
      </c>
    </row>
    <row r="9">
      <c r="A9" s="39" t="inlineStr">
        <is>
          <t>2024-02-27</t>
        </is>
      </c>
      <c r="B9" s="18" t="inlineStr">
        <is>
          <t>EMEA</t>
        </is>
      </c>
      <c r="C9" s="18" t="inlineStr">
        <is>
          <t>Warehouse Connect</t>
        </is>
      </c>
      <c r="D9" s="18" t="inlineStr">
        <is>
          <t>Mid-market</t>
        </is>
      </c>
      <c r="E9" s="18" t="inlineStr">
        <is>
          <t>A. Okafor</t>
        </is>
      </c>
      <c r="F9" s="20" t="n">
        <v>102600</v>
      </c>
      <c r="G9" s="34" t="inlineStr">
        <is>
          <t>Competitive displacement</t>
        </is>
      </c>
    </row>
    <row r="10">
      <c r="A10" s="39" t="inlineStr">
        <is>
          <t>2024-02-05</t>
        </is>
      </c>
      <c r="B10" s="18" t="inlineStr">
        <is>
          <t>EMEA</t>
        </is>
      </c>
      <c r="C10" s="18" t="inlineStr">
        <is>
          <t>Embedded Reports</t>
        </is>
      </c>
      <c r="D10" s="18" t="inlineStr">
        <is>
          <t>Enterprise</t>
        </is>
      </c>
      <c r="E10" s="18" t="inlineStr">
        <is>
          <t>A. Okafor</t>
        </is>
      </c>
      <c r="F10" s="20" t="n">
        <v>52400</v>
      </c>
      <c r="G10" s="34" t="inlineStr">
        <is>
          <t>Competitive displacement</t>
        </is>
      </c>
    </row>
    <row r="11">
      <c r="A11" s="39" t="inlineStr">
        <is>
          <t>2024-02-12</t>
        </is>
      </c>
      <c r="B11" s="18" t="inlineStr">
        <is>
          <t>AMER West</t>
        </is>
      </c>
      <c r="C11" s="18" t="inlineStr">
        <is>
          <t>Embedded Reports</t>
        </is>
      </c>
      <c r="D11" s="18" t="inlineStr">
        <is>
          <t>Enterprise</t>
        </is>
      </c>
      <c r="E11" s="18" t="inlineStr">
        <is>
          <t>K. Sørensen</t>
        </is>
      </c>
      <c r="F11" s="20" t="n">
        <v>46500</v>
      </c>
      <c r="G11" s="34" t="inlineStr">
        <is>
          <t>Standard list price</t>
        </is>
      </c>
    </row>
    <row r="12">
      <c r="A12" s="39" t="inlineStr">
        <is>
          <t>2024-02-19</t>
        </is>
      </c>
      <c r="B12" s="18" t="inlineStr">
        <is>
          <t>AMER East</t>
        </is>
      </c>
      <c r="C12" s="18" t="inlineStr">
        <is>
          <t>Alerts add-on</t>
        </is>
      </c>
      <c r="D12" s="18" t="inlineStr">
        <is>
          <t>Mid-market</t>
        </is>
      </c>
      <c r="E12" s="18" t="inlineStr">
        <is>
          <t>H. Vasquez</t>
        </is>
      </c>
      <c r="F12" s="20" t="n">
        <v>32300</v>
      </c>
      <c r="G12" s="34" t="inlineStr">
        <is>
          <t>Standard list price</t>
        </is>
      </c>
    </row>
    <row r="13">
      <c r="A13" s="39" t="inlineStr">
        <is>
          <t>2024-02-26</t>
        </is>
      </c>
      <c r="B13" s="18" t="inlineStr">
        <is>
          <t>LATAM</t>
        </is>
      </c>
      <c r="C13" s="18" t="inlineStr">
        <is>
          <t>Signal Core</t>
        </is>
      </c>
      <c r="D13" s="18" t="inlineStr">
        <is>
          <t>Enterprise</t>
        </is>
      </c>
      <c r="E13" s="18" t="inlineStr">
        <is>
          <t>C. Marín</t>
        </is>
      </c>
      <c r="F13" s="20" t="n">
        <v>155600</v>
      </c>
      <c r="G13" s="34" t="inlineStr">
        <is>
          <t>Multi-year prepay</t>
        </is>
      </c>
    </row>
    <row r="14">
      <c r="A14" s="39" t="inlineStr">
        <is>
          <t>2024-02-04</t>
        </is>
      </c>
      <c r="B14" s="18" t="inlineStr">
        <is>
          <t>APAC</t>
        </is>
      </c>
      <c r="C14" s="18" t="inlineStr">
        <is>
          <t>Embedded Reports</t>
        </is>
      </c>
      <c r="D14" s="18" t="inlineStr">
        <is>
          <t>SMB</t>
        </is>
      </c>
      <c r="E14" s="18" t="inlineStr">
        <is>
          <t>A. Okafor</t>
        </is>
      </c>
      <c r="F14" s="20" t="n">
        <v>57700</v>
      </c>
      <c r="G14" s="34" t="inlineStr">
        <is>
          <t>Standard list price</t>
        </is>
      </c>
    </row>
    <row r="15">
      <c r="A15" s="39" t="inlineStr">
        <is>
          <t>2024-02-11</t>
        </is>
      </c>
      <c r="B15" s="18" t="inlineStr">
        <is>
          <t>AMER West</t>
        </is>
      </c>
      <c r="C15" s="18" t="inlineStr">
        <is>
          <t>Alerts add-on</t>
        </is>
      </c>
      <c r="D15" s="18" t="inlineStr">
        <is>
          <t>SMB</t>
        </is>
      </c>
      <c r="E15" s="18" t="inlineStr">
        <is>
          <t>H. Vasquez</t>
        </is>
      </c>
      <c r="F15" s="20" t="n">
        <v>63900</v>
      </c>
      <c r="G15" s="34" t="inlineStr">
        <is>
          <t>Partner-sourced</t>
        </is>
      </c>
    </row>
    <row r="16">
      <c r="A16" s="39" t="inlineStr">
        <is>
          <t>2024-02-18</t>
        </is>
      </c>
      <c r="B16" s="18" t="inlineStr">
        <is>
          <t>AMER East</t>
        </is>
      </c>
      <c r="C16" s="18" t="inlineStr">
        <is>
          <t>Signal Pro</t>
        </is>
      </c>
      <c r="D16" s="18" t="inlineStr">
        <is>
          <t>SMB</t>
        </is>
      </c>
      <c r="E16" s="18" t="inlineStr">
        <is>
          <t>J. Adeyemi</t>
        </is>
      </c>
      <c r="F16" s="20" t="n">
        <v>5000</v>
      </c>
      <c r="G16" s="34" t="inlineStr">
        <is>
          <t>Co-term with parent</t>
        </is>
      </c>
    </row>
    <row r="17">
      <c r="A17" s="39" t="inlineStr">
        <is>
          <t>2024-02-25</t>
        </is>
      </c>
      <c r="B17" s="18" t="inlineStr">
        <is>
          <t>APAC</t>
        </is>
      </c>
      <c r="C17" s="18" t="inlineStr">
        <is>
          <t>Alerts add-on</t>
        </is>
      </c>
      <c r="D17" s="18" t="inlineStr">
        <is>
          <t>SMB</t>
        </is>
      </c>
      <c r="E17" s="18" t="inlineStr">
        <is>
          <t>K. Sørensen</t>
        </is>
      </c>
      <c r="F17" s="20" t="n">
        <v>61800</v>
      </c>
      <c r="G17" s="34" t="inlineStr">
        <is>
          <t>Multi-year prepay</t>
        </is>
      </c>
    </row>
    <row r="18">
      <c r="A18" s="39" t="inlineStr">
        <is>
          <t>2024-02-03</t>
        </is>
      </c>
      <c r="B18" s="18" t="inlineStr">
        <is>
          <t>LATAM</t>
        </is>
      </c>
      <c r="C18" s="18" t="inlineStr">
        <is>
          <t>Signal Core</t>
        </is>
      </c>
      <c r="D18" s="18" t="inlineStr">
        <is>
          <t>Mid-market</t>
        </is>
      </c>
      <c r="E18" s="18" t="inlineStr">
        <is>
          <t>J. Adeyemi</t>
        </is>
      </c>
      <c r="F18" s="20" t="n">
        <v>31200</v>
      </c>
      <c r="G18" s="34" t="inlineStr">
        <is>
          <t>Pilot converted</t>
        </is>
      </c>
    </row>
    <row r="19">
      <c r="A19" s="39" t="inlineStr">
        <is>
          <t>2024-02-10</t>
        </is>
      </c>
      <c r="B19" s="18" t="inlineStr">
        <is>
          <t>AMER West</t>
        </is>
      </c>
      <c r="C19" s="18" t="inlineStr">
        <is>
          <t>Alerts add-on</t>
        </is>
      </c>
      <c r="D19" s="18" t="inlineStr">
        <is>
          <t>Enterprise</t>
        </is>
      </c>
      <c r="E19" s="18" t="inlineStr">
        <is>
          <t>J. Adeyemi</t>
        </is>
      </c>
      <c r="F19" s="20" t="n">
        <v>148200</v>
      </c>
      <c r="G19" s="34" t="inlineStr">
        <is>
          <t>Multi-year prepay</t>
        </is>
      </c>
    </row>
    <row r="20">
      <c r="A20" s="39" t="inlineStr">
        <is>
          <t>2024-02-17</t>
        </is>
      </c>
      <c r="B20" s="18" t="inlineStr">
        <is>
          <t>APAC</t>
        </is>
      </c>
      <c r="C20" s="18" t="inlineStr">
        <is>
          <t>Embedded Reports</t>
        </is>
      </c>
      <c r="D20" s="18" t="inlineStr">
        <is>
          <t>Enterprise</t>
        </is>
      </c>
      <c r="E20" s="18" t="inlineStr">
        <is>
          <t>C. Marín</t>
        </is>
      </c>
      <c r="F20" s="20" t="n">
        <v>140800</v>
      </c>
      <c r="G20" s="34" t="inlineStr">
        <is>
          <t>Standard list price</t>
        </is>
      </c>
    </row>
    <row r="21">
      <c r="A21" s="39" t="inlineStr">
        <is>
          <t>2024-02-24</t>
        </is>
      </c>
      <c r="B21" s="18" t="inlineStr">
        <is>
          <t>APAC</t>
        </is>
      </c>
      <c r="C21" s="18" t="inlineStr">
        <is>
          <t>Warehouse Connect</t>
        </is>
      </c>
      <c r="D21" s="18" t="inlineStr">
        <is>
          <t>SMB</t>
        </is>
      </c>
      <c r="E21" s="18" t="inlineStr">
        <is>
          <t>C. Marín</t>
        </is>
      </c>
      <c r="F21" s="20" t="n">
        <v>85200</v>
      </c>
      <c r="G21" s="34" t="inlineStr">
        <is>
          <t>Standard list price</t>
        </is>
      </c>
    </row>
    <row r="22">
      <c r="A22" s="39" t="inlineStr">
        <is>
          <t>2024-02-02</t>
        </is>
      </c>
      <c r="B22" s="18" t="inlineStr">
        <is>
          <t>LATAM</t>
        </is>
      </c>
      <c r="C22" s="18" t="inlineStr">
        <is>
          <t>Warehouse Connect</t>
        </is>
      </c>
      <c r="D22" s="18" t="inlineStr">
        <is>
          <t>Enterprise</t>
        </is>
      </c>
      <c r="E22" s="18" t="inlineStr">
        <is>
          <t>F. Duarte</t>
        </is>
      </c>
      <c r="F22" s="20" t="n">
        <v>70200</v>
      </c>
      <c r="G22" s="34" t="inlineStr">
        <is>
          <t>Pilot converted</t>
        </is>
      </c>
    </row>
    <row r="23">
      <c r="A23" s="39" t="inlineStr">
        <is>
          <t>2024-02-09</t>
        </is>
      </c>
      <c r="B23" s="18" t="inlineStr">
        <is>
          <t>AMER West</t>
        </is>
      </c>
      <c r="C23" s="18" t="inlineStr">
        <is>
          <t>Signal Core</t>
        </is>
      </c>
      <c r="D23" s="18" t="inlineStr">
        <is>
          <t>Enterprise</t>
        </is>
      </c>
      <c r="E23" s="18" t="inlineStr">
        <is>
          <t>F. Duarte</t>
        </is>
      </c>
      <c r="F23" s="20" t="n">
        <v>7500</v>
      </c>
      <c r="G23" s="34" t="inlineStr">
        <is>
          <t>Ramped deal, year one</t>
        </is>
      </c>
    </row>
    <row r="24">
      <c r="A24" s="39" t="inlineStr">
        <is>
          <t>2024-02-16</t>
        </is>
      </c>
      <c r="B24" s="18" t="inlineStr">
        <is>
          <t>AMER West</t>
        </is>
      </c>
      <c r="C24" s="18" t="inlineStr">
        <is>
          <t>Warehouse Connect</t>
        </is>
      </c>
      <c r="D24" s="18" t="inlineStr">
        <is>
          <t>Mid-market</t>
        </is>
      </c>
      <c r="E24" s="18" t="inlineStr">
        <is>
          <t>C. Marín</t>
        </is>
      </c>
      <c r="F24" s="20" t="n">
        <v>54800</v>
      </c>
      <c r="G24" s="34" t="inlineStr">
        <is>
          <t>Renewal uplift 7%</t>
        </is>
      </c>
    </row>
    <row r="25">
      <c r="A25" s="39" t="inlineStr">
        <is>
          <t>2024-02-23</t>
        </is>
      </c>
      <c r="B25" s="18" t="inlineStr">
        <is>
          <t>APAC</t>
        </is>
      </c>
      <c r="C25" s="18" t="inlineStr">
        <is>
          <t>Signal Pro</t>
        </is>
      </c>
      <c r="D25" s="18" t="inlineStr">
        <is>
          <t>Mid-market</t>
        </is>
      </c>
      <c r="E25" s="18" t="inlineStr">
        <is>
          <t>D. Chatterjee</t>
        </is>
      </c>
      <c r="F25" s="20" t="n">
        <v>28300</v>
      </c>
      <c r="G25" s="34" t="inlineStr">
        <is>
          <t>Partner-sourced</t>
        </is>
      </c>
    </row>
    <row r="26">
      <c r="A26" s="39" t="inlineStr">
        <is>
          <t>2024-02-01</t>
        </is>
      </c>
      <c r="B26" s="18" t="inlineStr">
        <is>
          <t>APAC</t>
        </is>
      </c>
      <c r="C26" s="18" t="inlineStr">
        <is>
          <t>Signal Pro</t>
        </is>
      </c>
      <c r="D26" s="18" t="inlineStr">
        <is>
          <t>SMB</t>
        </is>
      </c>
      <c r="E26" s="18" t="inlineStr">
        <is>
          <t>F. Duarte</t>
        </is>
      </c>
      <c r="F26" s="20" t="n">
        <v>71700</v>
      </c>
      <c r="G26" s="34" t="inlineStr">
        <is>
          <t>Multi-year prepay</t>
        </is>
      </c>
    </row>
    <row r="27">
      <c r="A27" s="39" t="inlineStr">
        <is>
          <t>2024-02-08</t>
        </is>
      </c>
      <c r="B27" s="18" t="inlineStr">
        <is>
          <t>AMER West</t>
        </is>
      </c>
      <c r="C27" s="18" t="inlineStr">
        <is>
          <t>Warehouse Connect</t>
        </is>
      </c>
      <c r="D27" s="18" t="inlineStr">
        <is>
          <t>SMB</t>
        </is>
      </c>
      <c r="E27" s="18" t="inlineStr">
        <is>
          <t>E. Nakamura</t>
        </is>
      </c>
      <c r="F27" s="20" t="n">
        <v>50600</v>
      </c>
      <c r="G27" s="34" t="inlineStr">
        <is>
          <t>Competitive displacement</t>
        </is>
      </c>
    </row>
    <row r="28">
      <c r="A28" s="39" t="inlineStr">
        <is>
          <t>2024-02-15</t>
        </is>
      </c>
      <c r="B28" s="18" t="inlineStr">
        <is>
          <t>LATAM</t>
        </is>
      </c>
      <c r="C28" s="18" t="inlineStr">
        <is>
          <t>Signal Core</t>
        </is>
      </c>
      <c r="D28" s="18" t="inlineStr">
        <is>
          <t>Enterprise</t>
        </is>
      </c>
      <c r="E28" s="18" t="inlineStr">
        <is>
          <t>G. Halloran</t>
        </is>
      </c>
      <c r="F28" s="20" t="n">
        <v>12400</v>
      </c>
      <c r="G28" s="34" t="inlineStr">
        <is>
          <t>Standard list price</t>
        </is>
      </c>
    </row>
    <row r="29">
      <c r="A29" s="39" t="inlineStr">
        <is>
          <t>2024-02-22</t>
        </is>
      </c>
      <c r="B29" s="18" t="inlineStr">
        <is>
          <t>AMER West</t>
        </is>
      </c>
      <c r="C29" s="18" t="inlineStr">
        <is>
          <t>Alerts add-on</t>
        </is>
      </c>
      <c r="D29" s="18" t="inlineStr">
        <is>
          <t>SMB</t>
        </is>
      </c>
      <c r="E29" s="18" t="inlineStr">
        <is>
          <t>G. Halloran</t>
        </is>
      </c>
      <c r="F29" s="20" t="n">
        <v>9900</v>
      </c>
      <c r="G29" s="34" t="inlineStr">
        <is>
          <t>Co-term with parent</t>
        </is>
      </c>
    </row>
    <row r="30">
      <c r="A30" s="39" t="inlineStr">
        <is>
          <t>2024-02-29</t>
        </is>
      </c>
      <c r="B30" s="18" t="inlineStr">
        <is>
          <t>AMER East</t>
        </is>
      </c>
      <c r="C30" s="18" t="inlineStr">
        <is>
          <t>Signal Core</t>
        </is>
      </c>
      <c r="D30" s="18" t="inlineStr">
        <is>
          <t>Mid-market</t>
        </is>
      </c>
      <c r="E30" s="18" t="inlineStr">
        <is>
          <t>H. Vasquez</t>
        </is>
      </c>
      <c r="F30" s="20" t="n">
        <v>104100</v>
      </c>
      <c r="G30" s="34" t="inlineStr">
        <is>
          <t>Partner-sourced</t>
        </is>
      </c>
    </row>
    <row r="31">
      <c r="A31" s="39" t="inlineStr">
        <is>
          <t>2024-02-07</t>
        </is>
      </c>
      <c r="B31" s="18" t="inlineStr">
        <is>
          <t>APAC</t>
        </is>
      </c>
      <c r="C31" s="18" t="inlineStr">
        <is>
          <t>Warehouse Connect</t>
        </is>
      </c>
      <c r="D31" s="18" t="inlineStr">
        <is>
          <t>SMB</t>
        </is>
      </c>
      <c r="E31" s="18" t="inlineStr">
        <is>
          <t>F. Duarte</t>
        </is>
      </c>
      <c r="F31" s="20" t="n">
        <v>14100</v>
      </c>
      <c r="G31" s="34" t="inlineStr">
        <is>
          <t>Multi-year prepay</t>
        </is>
      </c>
    </row>
    <row r="32">
      <c r="A32" s="39" t="inlineStr">
        <is>
          <t>2024-02-14</t>
        </is>
      </c>
      <c r="B32" s="18" t="inlineStr">
        <is>
          <t>APAC</t>
        </is>
      </c>
      <c r="C32" s="18" t="inlineStr">
        <is>
          <t>Signal Core</t>
        </is>
      </c>
      <c r="D32" s="18" t="inlineStr">
        <is>
          <t>SMB</t>
        </is>
      </c>
      <c r="E32" s="18" t="inlineStr">
        <is>
          <t>J. Adeyemi</t>
        </is>
      </c>
      <c r="F32" s="20" t="n">
        <v>21400</v>
      </c>
      <c r="G32" s="34" t="inlineStr">
        <is>
          <t>Multi-year prepay</t>
        </is>
      </c>
    </row>
    <row r="33">
      <c r="A33" s="39" t="inlineStr">
        <is>
          <t>2024-02-21</t>
        </is>
      </c>
      <c r="B33" s="18" t="inlineStr">
        <is>
          <t>AMER West</t>
        </is>
      </c>
      <c r="C33" s="18" t="inlineStr">
        <is>
          <t>Warehouse Connect</t>
        </is>
      </c>
      <c r="D33" s="18" t="inlineStr">
        <is>
          <t>SMB</t>
        </is>
      </c>
      <c r="E33" s="18" t="inlineStr">
        <is>
          <t>F. Duarte</t>
        </is>
      </c>
      <c r="F33" s="20" t="n">
        <v>223500</v>
      </c>
      <c r="G33" s="34" t="inlineStr">
        <is>
          <t>Standard list price</t>
        </is>
      </c>
    </row>
    <row r="34">
      <c r="A34" s="39" t="inlineStr">
        <is>
          <t>2024-02-28</t>
        </is>
      </c>
      <c r="B34" s="18" t="inlineStr">
        <is>
          <t>EMEA</t>
        </is>
      </c>
      <c r="C34" s="18" t="inlineStr">
        <is>
          <t>Signal Pro</t>
        </is>
      </c>
      <c r="D34" s="18" t="inlineStr">
        <is>
          <t>Mid-market</t>
        </is>
      </c>
      <c r="E34" s="18" t="inlineStr">
        <is>
          <t>B. Lindqvist</t>
        </is>
      </c>
      <c r="F34" s="20" t="n">
        <v>140400</v>
      </c>
      <c r="G34" s="34" t="inlineStr">
        <is>
          <t>Co-term with parent</t>
        </is>
      </c>
    </row>
    <row r="35">
      <c r="A35" s="39" t="inlineStr">
        <is>
          <t>2024-02-06</t>
        </is>
      </c>
      <c r="B35" s="18" t="inlineStr">
        <is>
          <t>LATAM</t>
        </is>
      </c>
      <c r="C35" s="18" t="inlineStr">
        <is>
          <t>Embedded Reports</t>
        </is>
      </c>
      <c r="D35" s="18" t="inlineStr">
        <is>
          <t>Mid-market</t>
        </is>
      </c>
      <c r="E35" s="18" t="inlineStr">
        <is>
          <t>H. Vasquez</t>
        </is>
      </c>
      <c r="F35" s="20" t="n">
        <v>119100</v>
      </c>
      <c r="G35" s="34" t="inlineStr">
        <is>
          <t>Competitive displacement</t>
        </is>
      </c>
    </row>
    <row r="36">
      <c r="A36" s="39" t="inlineStr">
        <is>
          <t>2024-02-13</t>
        </is>
      </c>
      <c r="B36" s="18" t="inlineStr">
        <is>
          <t>APAC</t>
        </is>
      </c>
      <c r="C36" s="18" t="inlineStr">
        <is>
          <t>Signal Core</t>
        </is>
      </c>
      <c r="D36" s="18" t="inlineStr">
        <is>
          <t>Enterprise</t>
        </is>
      </c>
      <c r="E36" s="18" t="inlineStr">
        <is>
          <t>G. Halloran</t>
        </is>
      </c>
      <c r="F36" s="20" t="n">
        <v>45400</v>
      </c>
      <c r="G36" s="34" t="inlineStr">
        <is>
          <t>Ramped deal, year one</t>
        </is>
      </c>
    </row>
    <row r="37">
      <c r="A37" s="39" t="inlineStr">
        <is>
          <t>2024-02-20</t>
        </is>
      </c>
      <c r="B37" s="18" t="inlineStr">
        <is>
          <t>AMER East</t>
        </is>
      </c>
      <c r="C37" s="18" t="inlineStr">
        <is>
          <t>Signal Core</t>
        </is>
      </c>
      <c r="D37" s="18" t="inlineStr">
        <is>
          <t>Enterprise</t>
        </is>
      </c>
      <c r="E37" s="18" t="inlineStr">
        <is>
          <t>H. Vasquez</t>
        </is>
      </c>
      <c r="F37" s="20" t="n">
        <v>219000</v>
      </c>
      <c r="G37" s="34" t="inlineStr">
        <is>
          <t>Ramped deal, year one</t>
        </is>
      </c>
    </row>
    <row r="38">
      <c r="A38" s="39" t="inlineStr">
        <is>
          <t>2024-02-27</t>
        </is>
      </c>
      <c r="B38" s="18" t="inlineStr">
        <is>
          <t>AMER East</t>
        </is>
      </c>
      <c r="C38" s="18" t="inlineStr">
        <is>
          <t>Signal Core</t>
        </is>
      </c>
      <c r="D38" s="18" t="inlineStr">
        <is>
          <t>Enterprise</t>
        </is>
      </c>
      <c r="E38" s="18" t="inlineStr">
        <is>
          <t>F. Duarte</t>
        </is>
      </c>
      <c r="F38" s="20" t="n">
        <v>14000</v>
      </c>
      <c r="G38" s="34" t="inlineStr">
        <is>
          <t>Competitive displacement</t>
        </is>
      </c>
    </row>
    <row r="39">
      <c r="A39" s="39" t="inlineStr">
        <is>
          <t>2024-02-05</t>
        </is>
      </c>
      <c r="B39" s="18" t="inlineStr">
        <is>
          <t>AMER East</t>
        </is>
      </c>
      <c r="C39" s="18" t="inlineStr">
        <is>
          <t>Embedded Reports</t>
        </is>
      </c>
      <c r="D39" s="18" t="inlineStr">
        <is>
          <t>Enterprise</t>
        </is>
      </c>
      <c r="E39" s="18" t="inlineStr">
        <is>
          <t>F. Duarte</t>
        </is>
      </c>
      <c r="F39" s="20" t="n">
        <v>124600</v>
      </c>
      <c r="G39" s="34" t="inlineStr">
        <is>
          <t>Pilot converted</t>
        </is>
      </c>
    </row>
    <row r="40">
      <c r="A40" s="39" t="inlineStr">
        <is>
          <t>2024-02-12</t>
        </is>
      </c>
      <c r="B40" s="18" t="inlineStr">
        <is>
          <t>AMER East</t>
        </is>
      </c>
      <c r="C40" s="18" t="inlineStr">
        <is>
          <t>Warehouse Connect</t>
        </is>
      </c>
      <c r="D40" s="18" t="inlineStr">
        <is>
          <t>Mid-market</t>
        </is>
      </c>
      <c r="E40" s="18" t="inlineStr">
        <is>
          <t>J. Adeyemi</t>
        </is>
      </c>
      <c r="F40" s="20" t="n">
        <v>55100</v>
      </c>
      <c r="G40" s="34" t="inlineStr">
        <is>
          <t>Competitive displacement</t>
        </is>
      </c>
    </row>
    <row r="41">
      <c r="A41" s="39" t="inlineStr">
        <is>
          <t>2024-02-19</t>
        </is>
      </c>
      <c r="B41" s="18" t="inlineStr">
        <is>
          <t>APAC</t>
        </is>
      </c>
      <c r="C41" s="18" t="inlineStr">
        <is>
          <t>Alerts add-on</t>
        </is>
      </c>
      <c r="D41" s="18" t="inlineStr">
        <is>
          <t>SMB</t>
        </is>
      </c>
      <c r="E41" s="18" t="inlineStr">
        <is>
          <t>G. Halloran</t>
        </is>
      </c>
      <c r="F41" s="20" t="n">
        <v>26400</v>
      </c>
      <c r="G41" s="34" t="inlineStr">
        <is>
          <t>Ramped deal, year one</t>
        </is>
      </c>
    </row>
    <row r="42">
      <c r="A42" s="39" t="inlineStr">
        <is>
          <t>2024-02-26</t>
        </is>
      </c>
      <c r="B42" s="18" t="inlineStr">
        <is>
          <t>AMER West</t>
        </is>
      </c>
      <c r="C42" s="18" t="inlineStr">
        <is>
          <t>Warehouse Connect</t>
        </is>
      </c>
      <c r="D42" s="18" t="inlineStr">
        <is>
          <t>SMB</t>
        </is>
      </c>
      <c r="E42" s="18" t="inlineStr">
        <is>
          <t>H. Vasquez</t>
        </is>
      </c>
      <c r="F42" s="20" t="n">
        <v>110800</v>
      </c>
      <c r="G42" s="34" t="inlineStr">
        <is>
          <t>Ramped deal, year one</t>
        </is>
      </c>
    </row>
    <row r="43">
      <c r="A43" s="39" t="inlineStr">
        <is>
          <t>2024-02-04</t>
        </is>
      </c>
      <c r="B43" s="18" t="inlineStr">
        <is>
          <t>APAC</t>
        </is>
      </c>
      <c r="C43" s="18" t="inlineStr">
        <is>
          <t>Embedded Reports</t>
        </is>
      </c>
      <c r="D43" s="18" t="inlineStr">
        <is>
          <t>Mid-market</t>
        </is>
      </c>
      <c r="E43" s="18" t="inlineStr">
        <is>
          <t>H. Vasquez</t>
        </is>
      </c>
      <c r="F43" s="20" t="n">
        <v>45400</v>
      </c>
      <c r="G43" s="34" t="inlineStr">
        <is>
          <t>Competitive displacement</t>
        </is>
      </c>
    </row>
    <row r="44">
      <c r="A44" s="39" t="inlineStr">
        <is>
          <t>2024-02-11</t>
        </is>
      </c>
      <c r="B44" s="18" t="inlineStr">
        <is>
          <t>APAC</t>
        </is>
      </c>
      <c r="C44" s="18" t="inlineStr">
        <is>
          <t>Warehouse Connect</t>
        </is>
      </c>
      <c r="D44" s="18" t="inlineStr">
        <is>
          <t>SMB</t>
        </is>
      </c>
      <c r="E44" s="18" t="inlineStr">
        <is>
          <t>J. Adeyemi</t>
        </is>
      </c>
      <c r="F44" s="20" t="n">
        <v>69300</v>
      </c>
      <c r="G44" s="34" t="inlineStr">
        <is>
          <t>Pilot converted</t>
        </is>
      </c>
    </row>
    <row r="45">
      <c r="A45" s="39" t="inlineStr">
        <is>
          <t>2024-02-18</t>
        </is>
      </c>
      <c r="B45" s="18" t="inlineStr">
        <is>
          <t>LATAM</t>
        </is>
      </c>
      <c r="C45" s="18" t="inlineStr">
        <is>
          <t>Alerts add-on</t>
        </is>
      </c>
      <c r="D45" s="18" t="inlineStr">
        <is>
          <t>SMB</t>
        </is>
      </c>
      <c r="E45" s="18" t="inlineStr">
        <is>
          <t>D. Chatterjee</t>
        </is>
      </c>
      <c r="F45" s="20" t="n">
        <v>93000</v>
      </c>
      <c r="G45" s="34" t="inlineStr">
        <is>
          <t>Ramped deal, year one</t>
        </is>
      </c>
    </row>
    <row r="46">
      <c r="A46" s="39" t="inlineStr">
        <is>
          <t>2024-02-25</t>
        </is>
      </c>
      <c r="B46" s="18" t="inlineStr">
        <is>
          <t>APAC</t>
        </is>
      </c>
      <c r="C46" s="18" t="inlineStr">
        <is>
          <t>Alerts add-on</t>
        </is>
      </c>
      <c r="D46" s="18" t="inlineStr">
        <is>
          <t>SMB</t>
        </is>
      </c>
      <c r="E46" s="18" t="inlineStr">
        <is>
          <t>A. Okafor</t>
        </is>
      </c>
      <c r="F46" s="20" t="n">
        <v>72700</v>
      </c>
      <c r="G46" s="34" t="inlineStr">
        <is>
          <t>Multi-year prepay</t>
        </is>
      </c>
    </row>
    <row r="47">
      <c r="A47" s="39" t="inlineStr">
        <is>
          <t>2024-02-03</t>
        </is>
      </c>
      <c r="B47" s="18" t="inlineStr">
        <is>
          <t>AMER West</t>
        </is>
      </c>
      <c r="C47" s="18" t="inlineStr">
        <is>
          <t>Embedded Reports</t>
        </is>
      </c>
      <c r="D47" s="18" t="inlineStr">
        <is>
          <t>SMB</t>
        </is>
      </c>
      <c r="E47" s="18" t="inlineStr">
        <is>
          <t>A. Okafor</t>
        </is>
      </c>
      <c r="F47" s="20" t="n">
        <v>29600</v>
      </c>
      <c r="G47" s="34" t="inlineStr">
        <is>
          <t>Ramped deal, year one</t>
        </is>
      </c>
    </row>
    <row r="48">
      <c r="A48" s="39" t="inlineStr">
        <is>
          <t>2024-02-10</t>
        </is>
      </c>
      <c r="B48" s="18" t="inlineStr">
        <is>
          <t>AMER East</t>
        </is>
      </c>
      <c r="C48" s="18" t="inlineStr">
        <is>
          <t>Embedded Reports</t>
        </is>
      </c>
      <c r="D48" s="18" t="inlineStr">
        <is>
          <t>SMB</t>
        </is>
      </c>
      <c r="E48" s="18" t="inlineStr">
        <is>
          <t>A. Okafor</t>
        </is>
      </c>
      <c r="F48" s="20" t="n">
        <v>28400</v>
      </c>
      <c r="G48" s="34" t="inlineStr">
        <is>
          <t>Pilot converted</t>
        </is>
      </c>
    </row>
    <row r="49">
      <c r="A49" s="39" t="inlineStr">
        <is>
          <t>2024-02-17</t>
        </is>
      </c>
      <c r="B49" s="18" t="inlineStr">
        <is>
          <t>APAC</t>
        </is>
      </c>
      <c r="C49" s="18" t="inlineStr">
        <is>
          <t>Signal Core</t>
        </is>
      </c>
      <c r="D49" s="18" t="inlineStr">
        <is>
          <t>Enterprise</t>
        </is>
      </c>
      <c r="E49" s="18" t="inlineStr">
        <is>
          <t>D. Chatterjee</t>
        </is>
      </c>
      <c r="F49" s="20" t="n">
        <v>12200</v>
      </c>
      <c r="G49" s="34" t="inlineStr">
        <is>
          <t>Competitive displacement</t>
        </is>
      </c>
    </row>
    <row r="50">
      <c r="A50" s="39" t="inlineStr">
        <is>
          <t>2024-02-24</t>
        </is>
      </c>
      <c r="B50" s="18" t="inlineStr">
        <is>
          <t>EMEA</t>
        </is>
      </c>
      <c r="C50" s="18" t="inlineStr">
        <is>
          <t>Embedded Reports</t>
        </is>
      </c>
      <c r="D50" s="18" t="inlineStr">
        <is>
          <t>Mid-market</t>
        </is>
      </c>
      <c r="E50" s="18" t="inlineStr">
        <is>
          <t>F. Duarte</t>
        </is>
      </c>
      <c r="F50" s="20" t="n">
        <v>41200</v>
      </c>
      <c r="G50" s="34" t="inlineStr">
        <is>
          <t>Ramped deal, year one</t>
        </is>
      </c>
    </row>
    <row r="51">
      <c r="A51" s="39" t="inlineStr">
        <is>
          <t>2024-02-02</t>
        </is>
      </c>
      <c r="B51" s="18" t="inlineStr">
        <is>
          <t>EMEA</t>
        </is>
      </c>
      <c r="C51" s="18" t="inlineStr">
        <is>
          <t>Signal Pro</t>
        </is>
      </c>
      <c r="D51" s="18" t="inlineStr">
        <is>
          <t>SMB</t>
        </is>
      </c>
      <c r="E51" s="18" t="inlineStr">
        <is>
          <t>A. Okafor</t>
        </is>
      </c>
      <c r="F51" s="20" t="n">
        <v>4300</v>
      </c>
      <c r="G51" s="34" t="inlineStr">
        <is>
          <t>Partner-sourced</t>
        </is>
      </c>
    </row>
    <row r="52">
      <c r="A52" s="39" t="inlineStr">
        <is>
          <t>2024-02-09</t>
        </is>
      </c>
      <c r="B52" s="18" t="inlineStr">
        <is>
          <t>AMER East</t>
        </is>
      </c>
      <c r="C52" s="18" t="inlineStr">
        <is>
          <t>Signal Pro</t>
        </is>
      </c>
      <c r="D52" s="18" t="inlineStr">
        <is>
          <t>SMB</t>
        </is>
      </c>
      <c r="E52" s="18" t="inlineStr">
        <is>
          <t>F. Duarte</t>
        </is>
      </c>
      <c r="F52" s="20" t="n">
        <v>23500</v>
      </c>
      <c r="G52" s="34" t="inlineStr">
        <is>
          <t>Multi-year prepay</t>
        </is>
      </c>
    </row>
    <row r="53">
      <c r="A53" s="39" t="inlineStr">
        <is>
          <t>2024-02-16</t>
        </is>
      </c>
      <c r="B53" s="18" t="inlineStr">
        <is>
          <t>AMER East</t>
        </is>
      </c>
      <c r="C53" s="18" t="inlineStr">
        <is>
          <t>Alerts add-on</t>
        </is>
      </c>
      <c r="D53" s="18" t="inlineStr">
        <is>
          <t>Mid-market</t>
        </is>
      </c>
      <c r="E53" s="18" t="inlineStr">
        <is>
          <t>D. Chatterjee</t>
        </is>
      </c>
      <c r="F53" s="20" t="n">
        <v>26200</v>
      </c>
      <c r="G53" s="34" t="inlineStr">
        <is>
          <t>Co-term with parent</t>
        </is>
      </c>
    </row>
    <row r="54">
      <c r="A54" s="39" t="inlineStr">
        <is>
          <t>2024-02-23</t>
        </is>
      </c>
      <c r="B54" s="18" t="inlineStr">
        <is>
          <t>AMER East</t>
        </is>
      </c>
      <c r="C54" s="18" t="inlineStr">
        <is>
          <t>Signal Pro</t>
        </is>
      </c>
      <c r="D54" s="18" t="inlineStr">
        <is>
          <t>SMB</t>
        </is>
      </c>
      <c r="E54" s="18" t="inlineStr">
        <is>
          <t>C. Marín</t>
        </is>
      </c>
      <c r="F54" s="20" t="n">
        <v>64100</v>
      </c>
      <c r="G54" s="34" t="inlineStr">
        <is>
          <t>Partner-sourced</t>
        </is>
      </c>
    </row>
    <row r="55">
      <c r="A55" s="39" t="inlineStr">
        <is>
          <t>2024-02-01</t>
        </is>
      </c>
      <c r="B55" s="18" t="inlineStr">
        <is>
          <t>EMEA</t>
        </is>
      </c>
      <c r="C55" s="18" t="inlineStr">
        <is>
          <t>Signal Core</t>
        </is>
      </c>
      <c r="D55" s="18" t="inlineStr">
        <is>
          <t>Mid-market</t>
        </is>
      </c>
      <c r="E55" s="18" t="inlineStr">
        <is>
          <t>H. Vasquez</t>
        </is>
      </c>
      <c r="F55" s="20" t="n">
        <v>46300</v>
      </c>
      <c r="G55" s="34" t="inlineStr">
        <is>
          <t>Co-term with parent</t>
        </is>
      </c>
    </row>
    <row r="56">
      <c r="A56" s="39" t="inlineStr">
        <is>
          <t>2024-02-08</t>
        </is>
      </c>
      <c r="B56" s="18" t="inlineStr">
        <is>
          <t>LATAM</t>
        </is>
      </c>
      <c r="C56" s="18" t="inlineStr">
        <is>
          <t>Embedded Reports</t>
        </is>
      </c>
      <c r="D56" s="18" t="inlineStr">
        <is>
          <t>Mid-market</t>
        </is>
      </c>
      <c r="E56" s="18" t="inlineStr">
        <is>
          <t>F. Duarte</t>
        </is>
      </c>
      <c r="F56" s="20" t="n">
        <v>50300</v>
      </c>
      <c r="G56" s="34" t="inlineStr">
        <is>
          <t>Pilot converted</t>
        </is>
      </c>
    </row>
    <row r="57">
      <c r="A57" s="39" t="inlineStr">
        <is>
          <t>2024-02-15</t>
        </is>
      </c>
      <c r="B57" s="18" t="inlineStr">
        <is>
          <t>EMEA</t>
        </is>
      </c>
      <c r="C57" s="18" t="inlineStr">
        <is>
          <t>Embedded Reports</t>
        </is>
      </c>
      <c r="D57" s="18" t="inlineStr">
        <is>
          <t>Enterprise</t>
        </is>
      </c>
      <c r="E57" s="18" t="inlineStr">
        <is>
          <t>A. Okafor</t>
        </is>
      </c>
      <c r="F57" s="20" t="n">
        <v>170100</v>
      </c>
      <c r="G57" s="34" t="inlineStr">
        <is>
          <t>Standard list price</t>
        </is>
      </c>
    </row>
    <row r="58">
      <c r="A58" s="39" t="inlineStr">
        <is>
          <t>2024-02-22</t>
        </is>
      </c>
      <c r="B58" s="18" t="inlineStr">
        <is>
          <t>AMER West</t>
        </is>
      </c>
      <c r="C58" s="18" t="inlineStr">
        <is>
          <t>Embedded Reports</t>
        </is>
      </c>
      <c r="D58" s="18" t="inlineStr">
        <is>
          <t>Mid-market</t>
        </is>
      </c>
      <c r="E58" s="18" t="inlineStr">
        <is>
          <t>J. Adeyemi</t>
        </is>
      </c>
      <c r="F58" s="20" t="n">
        <v>58800</v>
      </c>
      <c r="G58" s="34" t="inlineStr">
        <is>
          <t>Ramped deal, year one</t>
        </is>
      </c>
    </row>
    <row r="59">
      <c r="A59" s="39" t="inlineStr">
        <is>
          <t>2024-02-29</t>
        </is>
      </c>
      <c r="B59" s="18" t="inlineStr">
        <is>
          <t>APAC</t>
        </is>
      </c>
      <c r="C59" s="18" t="inlineStr">
        <is>
          <t>Embedded Reports</t>
        </is>
      </c>
      <c r="D59" s="18" t="inlineStr">
        <is>
          <t>Mid-market</t>
        </is>
      </c>
      <c r="E59" s="18" t="inlineStr">
        <is>
          <t>J. Adeyemi</t>
        </is>
      </c>
      <c r="F59" s="20" t="n">
        <v>40400</v>
      </c>
      <c r="G59" s="34" t="inlineStr">
        <is>
          <t>Co-term with parent</t>
        </is>
      </c>
    </row>
    <row r="60">
      <c r="A60" s="39" t="inlineStr">
        <is>
          <t>2024-02-07</t>
        </is>
      </c>
      <c r="B60" s="18" t="inlineStr">
        <is>
          <t>APAC</t>
        </is>
      </c>
      <c r="C60" s="18" t="inlineStr">
        <is>
          <t>Signal Pro</t>
        </is>
      </c>
      <c r="D60" s="18" t="inlineStr">
        <is>
          <t>Enterprise</t>
        </is>
      </c>
      <c r="E60" s="18" t="inlineStr">
        <is>
          <t>H. Vasquez</t>
        </is>
      </c>
      <c r="F60" s="20" t="n">
        <v>27000</v>
      </c>
      <c r="G60" s="34" t="inlineStr">
        <is>
          <t>Standard list price</t>
        </is>
      </c>
    </row>
    <row r="61">
      <c r="A61" s="39" t="inlineStr">
        <is>
          <t>2024-02-14</t>
        </is>
      </c>
      <c r="B61" s="18" t="inlineStr">
        <is>
          <t>AMER East</t>
        </is>
      </c>
      <c r="C61" s="18" t="inlineStr">
        <is>
          <t>Alerts add-on</t>
        </is>
      </c>
      <c r="D61" s="18" t="inlineStr">
        <is>
          <t>Mid-market</t>
        </is>
      </c>
      <c r="E61" s="18" t="inlineStr">
        <is>
          <t>B. Lindqvist</t>
        </is>
      </c>
      <c r="F61" s="20" t="n">
        <v>204600</v>
      </c>
      <c r="G61" s="34" t="inlineStr">
        <is>
          <t>Partner-sourced</t>
        </is>
      </c>
    </row>
    <row r="62">
      <c r="A62" s="39" t="inlineStr">
        <is>
          <t>2024-02-21</t>
        </is>
      </c>
      <c r="B62" s="18" t="inlineStr">
        <is>
          <t>AMER East</t>
        </is>
      </c>
      <c r="C62" s="18" t="inlineStr">
        <is>
          <t>Signal Core</t>
        </is>
      </c>
      <c r="D62" s="18" t="inlineStr">
        <is>
          <t>SMB</t>
        </is>
      </c>
      <c r="E62" s="18" t="inlineStr">
        <is>
          <t>A. Okafor</t>
        </is>
      </c>
      <c r="F62" s="20" t="n">
        <v>53700</v>
      </c>
      <c r="G62" s="34" t="inlineStr">
        <is>
          <t>Renewal uplift 7%</t>
        </is>
      </c>
    </row>
    <row r="63">
      <c r="A63" s="39" t="inlineStr">
        <is>
          <t>2024-02-28</t>
        </is>
      </c>
      <c r="B63" s="18" t="inlineStr">
        <is>
          <t>AMER West</t>
        </is>
      </c>
      <c r="C63" s="18" t="inlineStr">
        <is>
          <t>Signal Pro</t>
        </is>
      </c>
      <c r="D63" s="18" t="inlineStr">
        <is>
          <t>Enterprise</t>
        </is>
      </c>
      <c r="E63" s="18" t="inlineStr">
        <is>
          <t>A. Okafor</t>
        </is>
      </c>
      <c r="F63" s="20" t="n">
        <v>20200</v>
      </c>
      <c r="G63" s="34" t="inlineStr">
        <is>
          <t>Co-term with parent</t>
        </is>
      </c>
    </row>
    <row r="64">
      <c r="A64" s="39" t="inlineStr">
        <is>
          <t>2024-02-06</t>
        </is>
      </c>
      <c r="B64" s="18" t="inlineStr">
        <is>
          <t>EMEA</t>
        </is>
      </c>
      <c r="C64" s="18" t="inlineStr">
        <is>
          <t>Signal Core</t>
        </is>
      </c>
      <c r="D64" s="18" t="inlineStr">
        <is>
          <t>SMB</t>
        </is>
      </c>
      <c r="E64" s="18" t="inlineStr">
        <is>
          <t>G. Halloran</t>
        </is>
      </c>
      <c r="F64" s="20" t="n">
        <v>50600</v>
      </c>
      <c r="G64" s="34" t="inlineStr">
        <is>
          <t>Renewal uplift 7%</t>
        </is>
      </c>
    </row>
    <row r="65">
      <c r="A65" s="39" t="inlineStr">
        <is>
          <t>2024-02-13</t>
        </is>
      </c>
      <c r="B65" s="18" t="inlineStr">
        <is>
          <t>LATAM</t>
        </is>
      </c>
      <c r="C65" s="18" t="inlineStr">
        <is>
          <t>Warehouse Connect</t>
        </is>
      </c>
      <c r="D65" s="18" t="inlineStr">
        <is>
          <t>SMB</t>
        </is>
      </c>
      <c r="E65" s="18" t="inlineStr">
        <is>
          <t>K. Sørensen</t>
        </is>
      </c>
      <c r="F65" s="20" t="n">
        <v>87200</v>
      </c>
      <c r="G65" s="34" t="inlineStr">
        <is>
          <t>Partner-sourced</t>
        </is>
      </c>
    </row>
    <row r="66">
      <c r="A66" s="39" t="inlineStr">
        <is>
          <t>2024-02-20</t>
        </is>
      </c>
      <c r="B66" s="18" t="inlineStr">
        <is>
          <t>AMER East</t>
        </is>
      </c>
      <c r="C66" s="18" t="inlineStr">
        <is>
          <t>Signal Pro</t>
        </is>
      </c>
      <c r="D66" s="18" t="inlineStr">
        <is>
          <t>SMB</t>
        </is>
      </c>
      <c r="E66" s="18" t="inlineStr">
        <is>
          <t>D. Chatterjee</t>
        </is>
      </c>
      <c r="F66" s="20" t="n">
        <v>45300</v>
      </c>
      <c r="G66" s="34" t="inlineStr">
        <is>
          <t>Standard list price</t>
        </is>
      </c>
    </row>
    <row r="67">
      <c r="A67" s="39" t="inlineStr">
        <is>
          <t>2024-02-27</t>
        </is>
      </c>
      <c r="B67" s="18" t="inlineStr">
        <is>
          <t>APAC</t>
        </is>
      </c>
      <c r="C67" s="18" t="inlineStr">
        <is>
          <t>Signal Core</t>
        </is>
      </c>
      <c r="D67" s="18" t="inlineStr">
        <is>
          <t>SMB</t>
        </is>
      </c>
      <c r="E67" s="18" t="inlineStr">
        <is>
          <t>C. Marín</t>
        </is>
      </c>
      <c r="F67" s="20" t="n">
        <v>21000</v>
      </c>
      <c r="G67" s="34" t="inlineStr">
        <is>
          <t>Competitive displacement</t>
        </is>
      </c>
    </row>
    <row r="68">
      <c r="A68" s="39" t="inlineStr">
        <is>
          <t>2024-02-05</t>
        </is>
      </c>
      <c r="B68" s="18" t="inlineStr">
        <is>
          <t>AMER East</t>
        </is>
      </c>
      <c r="C68" s="18" t="inlineStr">
        <is>
          <t>Embedded Reports</t>
        </is>
      </c>
      <c r="D68" s="18" t="inlineStr">
        <is>
          <t>Mid-market</t>
        </is>
      </c>
      <c r="E68" s="18" t="inlineStr">
        <is>
          <t>A. Okafor</t>
        </is>
      </c>
      <c r="F68" s="20" t="n">
        <v>59000</v>
      </c>
      <c r="G68" s="34" t="inlineStr">
        <is>
          <t>Multi-year prepay</t>
        </is>
      </c>
    </row>
    <row r="69">
      <c r="A69" s="39" t="inlineStr">
        <is>
          <t>2024-02-12</t>
        </is>
      </c>
      <c r="B69" s="18" t="inlineStr">
        <is>
          <t>EMEA</t>
        </is>
      </c>
      <c r="C69" s="18" t="inlineStr">
        <is>
          <t>Signal Core</t>
        </is>
      </c>
      <c r="D69" s="18" t="inlineStr">
        <is>
          <t>Mid-market</t>
        </is>
      </c>
      <c r="E69" s="18" t="inlineStr">
        <is>
          <t>E. Nakamura</t>
        </is>
      </c>
      <c r="F69" s="20" t="n">
        <v>89700</v>
      </c>
      <c r="G69" s="34" t="inlineStr">
        <is>
          <t>Partner-sourced</t>
        </is>
      </c>
    </row>
    <row r="70">
      <c r="A70" s="39" t="inlineStr">
        <is>
          <t>2024-02-19</t>
        </is>
      </c>
      <c r="B70" s="18" t="inlineStr">
        <is>
          <t>AMER West</t>
        </is>
      </c>
      <c r="C70" s="18" t="inlineStr">
        <is>
          <t>Signal Core</t>
        </is>
      </c>
      <c r="D70" s="18" t="inlineStr">
        <is>
          <t>SMB</t>
        </is>
      </c>
      <c r="E70" s="18" t="inlineStr">
        <is>
          <t>H. Vasquez</t>
        </is>
      </c>
      <c r="F70" s="20" t="n">
        <v>46600</v>
      </c>
      <c r="G70" s="34" t="inlineStr">
        <is>
          <t>Competitive displacement</t>
        </is>
      </c>
    </row>
    <row r="71">
      <c r="A71" s="39" t="inlineStr">
        <is>
          <t>2024-02-26</t>
        </is>
      </c>
      <c r="B71" s="18" t="inlineStr">
        <is>
          <t>EMEA</t>
        </is>
      </c>
      <c r="C71" s="18" t="inlineStr">
        <is>
          <t>Warehouse Connect</t>
        </is>
      </c>
      <c r="D71" s="18" t="inlineStr">
        <is>
          <t>Enterprise</t>
        </is>
      </c>
      <c r="E71" s="18" t="inlineStr">
        <is>
          <t>B. Lindqvist</t>
        </is>
      </c>
      <c r="F71" s="20" t="n">
        <v>48900</v>
      </c>
      <c r="G71" s="34" t="inlineStr">
        <is>
          <t>Partner-sourced</t>
        </is>
      </c>
    </row>
    <row r="72">
      <c r="A72" s="39" t="inlineStr">
        <is>
          <t>2024-02-04</t>
        </is>
      </c>
      <c r="B72" s="18" t="inlineStr">
        <is>
          <t>APAC</t>
        </is>
      </c>
      <c r="C72" s="18" t="inlineStr">
        <is>
          <t>Signal Pro</t>
        </is>
      </c>
      <c r="D72" s="18" t="inlineStr">
        <is>
          <t>Mid-market</t>
        </is>
      </c>
      <c r="E72" s="18" t="inlineStr">
        <is>
          <t>D. Chatterjee</t>
        </is>
      </c>
      <c r="F72" s="20" t="n">
        <v>27600</v>
      </c>
      <c r="G72" s="34" t="inlineStr">
        <is>
          <t>Competitive displacement</t>
        </is>
      </c>
    </row>
    <row r="73">
      <c r="A73" s="39" t="inlineStr">
        <is>
          <t>2024-02-11</t>
        </is>
      </c>
      <c r="B73" s="18" t="inlineStr">
        <is>
          <t>APAC</t>
        </is>
      </c>
      <c r="C73" s="18" t="inlineStr">
        <is>
          <t>Embedded Reports</t>
        </is>
      </c>
      <c r="D73" s="18" t="inlineStr">
        <is>
          <t>Mid-market</t>
        </is>
      </c>
      <c r="E73" s="18" t="inlineStr">
        <is>
          <t>G. Halloran</t>
        </is>
      </c>
      <c r="F73" s="20" t="n">
        <v>13400</v>
      </c>
      <c r="G73" s="34" t="inlineStr">
        <is>
          <t>Co-term with parent</t>
        </is>
      </c>
    </row>
    <row r="74">
      <c r="A74" s="39" t="inlineStr">
        <is>
          <t>2024-02-18</t>
        </is>
      </c>
      <c r="B74" s="18" t="inlineStr">
        <is>
          <t>AMER East</t>
        </is>
      </c>
      <c r="C74" s="18" t="inlineStr">
        <is>
          <t>Signal Core</t>
        </is>
      </c>
      <c r="D74" s="18" t="inlineStr">
        <is>
          <t>SMB</t>
        </is>
      </c>
      <c r="E74" s="18" t="inlineStr">
        <is>
          <t>F. Duarte</t>
        </is>
      </c>
      <c r="F74" s="20" t="n">
        <v>17800</v>
      </c>
      <c r="G74" s="34" t="inlineStr">
        <is>
          <t>Co-term with parent</t>
        </is>
      </c>
    </row>
    <row r="75">
      <c r="A75" s="39" t="inlineStr">
        <is>
          <t>2024-02-25</t>
        </is>
      </c>
      <c r="B75" s="18" t="inlineStr">
        <is>
          <t>AMER East</t>
        </is>
      </c>
      <c r="C75" s="18" t="inlineStr">
        <is>
          <t>Embedded Reports</t>
        </is>
      </c>
      <c r="D75" s="18" t="inlineStr">
        <is>
          <t>Mid-market</t>
        </is>
      </c>
      <c r="E75" s="18" t="inlineStr">
        <is>
          <t>E. Nakamura</t>
        </is>
      </c>
      <c r="F75" s="20" t="n">
        <v>37500</v>
      </c>
      <c r="G75" s="34" t="inlineStr">
        <is>
          <t>Standard list price</t>
        </is>
      </c>
    </row>
    <row r="76">
      <c r="A76" s="39" t="inlineStr">
        <is>
          <t>2024-02-03</t>
        </is>
      </c>
      <c r="B76" s="18" t="inlineStr">
        <is>
          <t>LATAM</t>
        </is>
      </c>
      <c r="C76" s="18" t="inlineStr">
        <is>
          <t>Signal Core</t>
        </is>
      </c>
      <c r="D76" s="18" t="inlineStr">
        <is>
          <t>Mid-market</t>
        </is>
      </c>
      <c r="E76" s="18" t="inlineStr">
        <is>
          <t>A. Okafor</t>
        </is>
      </c>
      <c r="F76" s="20" t="n">
        <v>75500</v>
      </c>
      <c r="G76" s="34" t="inlineStr">
        <is>
          <t>Standard list price</t>
        </is>
      </c>
    </row>
    <row r="77">
      <c r="A77" s="39" t="inlineStr">
        <is>
          <t>2024-02-10</t>
        </is>
      </c>
      <c r="B77" s="18" t="inlineStr">
        <is>
          <t>LATAM</t>
        </is>
      </c>
      <c r="C77" s="18" t="inlineStr">
        <is>
          <t>Embedded Reports</t>
        </is>
      </c>
      <c r="D77" s="18" t="inlineStr">
        <is>
          <t>Enterprise</t>
        </is>
      </c>
      <c r="E77" s="18" t="inlineStr">
        <is>
          <t>A. Okafor</t>
        </is>
      </c>
      <c r="F77" s="20" t="n">
        <v>9600</v>
      </c>
      <c r="G77" s="34" t="inlineStr">
        <is>
          <t>Ramped deal, year one</t>
        </is>
      </c>
    </row>
    <row r="78">
      <c r="A78" s="39" t="inlineStr">
        <is>
          <t>2024-02-17</t>
        </is>
      </c>
      <c r="B78" s="18" t="inlineStr">
        <is>
          <t>LATAM</t>
        </is>
      </c>
      <c r="C78" s="18" t="inlineStr">
        <is>
          <t>Warehouse Connect</t>
        </is>
      </c>
      <c r="D78" s="18" t="inlineStr">
        <is>
          <t>Enterprise</t>
        </is>
      </c>
      <c r="E78" s="18" t="inlineStr">
        <is>
          <t>D. Chatterjee</t>
        </is>
      </c>
      <c r="F78" s="20" t="n">
        <v>152800</v>
      </c>
      <c r="G78" s="34" t="inlineStr">
        <is>
          <t>Multi-year prepay</t>
        </is>
      </c>
    </row>
    <row r="79">
      <c r="A79" s="39" t="inlineStr">
        <is>
          <t>2024-02-24</t>
        </is>
      </c>
      <c r="B79" s="18" t="inlineStr">
        <is>
          <t>AMER East</t>
        </is>
      </c>
      <c r="C79" s="18" t="inlineStr">
        <is>
          <t>Signal Core</t>
        </is>
      </c>
      <c r="D79" s="18" t="inlineStr">
        <is>
          <t>Mid-market</t>
        </is>
      </c>
      <c r="E79" s="18" t="inlineStr">
        <is>
          <t>F. Duarte</t>
        </is>
      </c>
      <c r="F79" s="20" t="n">
        <v>126300</v>
      </c>
      <c r="G79" s="34" t="inlineStr">
        <is>
          <t>Co-term with parent</t>
        </is>
      </c>
    </row>
    <row r="80">
      <c r="A80" s="39" t="inlineStr">
        <is>
          <t>2024-02-02</t>
        </is>
      </c>
      <c r="B80" s="18" t="inlineStr">
        <is>
          <t>AMER East</t>
        </is>
      </c>
      <c r="C80" s="18" t="inlineStr">
        <is>
          <t>Warehouse Connect</t>
        </is>
      </c>
      <c r="D80" s="18" t="inlineStr">
        <is>
          <t>SMB</t>
        </is>
      </c>
      <c r="E80" s="18" t="inlineStr">
        <is>
          <t>A. Okafor</t>
        </is>
      </c>
      <c r="F80" s="20" t="n">
        <v>19500</v>
      </c>
      <c r="G80" s="34" t="inlineStr">
        <is>
          <t>Co-term with parent</t>
        </is>
      </c>
    </row>
    <row r="81">
      <c r="A81" s="39" t="inlineStr">
        <is>
          <t>2024-02-09</t>
        </is>
      </c>
      <c r="B81" s="18" t="inlineStr">
        <is>
          <t>APAC</t>
        </is>
      </c>
      <c r="C81" s="18" t="inlineStr">
        <is>
          <t>Signal Pro</t>
        </is>
      </c>
      <c r="D81" s="18" t="inlineStr">
        <is>
          <t>Mid-market</t>
        </is>
      </c>
      <c r="E81" s="18" t="inlineStr">
        <is>
          <t>J. Adeyemi</t>
        </is>
      </c>
      <c r="F81" s="20" t="n">
        <v>38100</v>
      </c>
      <c r="G81" s="34" t="inlineStr">
        <is>
          <t>Standard list price</t>
        </is>
      </c>
    </row>
    <row r="82">
      <c r="A82" s="39" t="inlineStr">
        <is>
          <t>2024-02-16</t>
        </is>
      </c>
      <c r="B82" s="18" t="inlineStr">
        <is>
          <t>AMER West</t>
        </is>
      </c>
      <c r="C82" s="18" t="inlineStr">
        <is>
          <t>Signal Pro</t>
        </is>
      </c>
      <c r="D82" s="18" t="inlineStr">
        <is>
          <t>Enterprise</t>
        </is>
      </c>
      <c r="E82" s="18" t="inlineStr">
        <is>
          <t>B. Lindqvist</t>
        </is>
      </c>
      <c r="F82" s="20" t="n">
        <v>76700</v>
      </c>
      <c r="G82" s="34" t="inlineStr">
        <is>
          <t>Partner-sourced</t>
        </is>
      </c>
    </row>
    <row r="83">
      <c r="A83" s="39" t="inlineStr">
        <is>
          <t>2024-02-23</t>
        </is>
      </c>
      <c r="B83" s="18" t="inlineStr">
        <is>
          <t>AMER East</t>
        </is>
      </c>
      <c r="C83" s="18" t="inlineStr">
        <is>
          <t>Signal Core</t>
        </is>
      </c>
      <c r="D83" s="18" t="inlineStr">
        <is>
          <t>Enterprise</t>
        </is>
      </c>
      <c r="E83" s="18" t="inlineStr">
        <is>
          <t>B. Lindqvist</t>
        </is>
      </c>
      <c r="F83" s="20" t="n">
        <v>114000</v>
      </c>
      <c r="G83" s="34" t="inlineStr">
        <is>
          <t>Pilot converted</t>
        </is>
      </c>
    </row>
    <row r="84">
      <c r="A84" s="39" t="inlineStr">
        <is>
          <t>2024-02-01</t>
        </is>
      </c>
      <c r="B84" s="18" t="inlineStr">
        <is>
          <t>AMER East</t>
        </is>
      </c>
      <c r="C84" s="18" t="inlineStr">
        <is>
          <t>Signal Pro</t>
        </is>
      </c>
      <c r="D84" s="18" t="inlineStr">
        <is>
          <t>SMB</t>
        </is>
      </c>
      <c r="E84" s="18" t="inlineStr">
        <is>
          <t>H. Vasquez</t>
        </is>
      </c>
      <c r="F84" s="20" t="n">
        <v>60700</v>
      </c>
      <c r="G84" s="34" t="inlineStr">
        <is>
          <t>Pilot converted</t>
        </is>
      </c>
    </row>
    <row r="85">
      <c r="A85" s="39" t="inlineStr">
        <is>
          <t>2024-02-08</t>
        </is>
      </c>
      <c r="B85" s="18" t="inlineStr">
        <is>
          <t>EMEA</t>
        </is>
      </c>
      <c r="C85" s="18" t="inlineStr">
        <is>
          <t>Signal Core</t>
        </is>
      </c>
      <c r="D85" s="18" t="inlineStr">
        <is>
          <t>SMB</t>
        </is>
      </c>
      <c r="E85" s="18" t="inlineStr">
        <is>
          <t>G. Halloran</t>
        </is>
      </c>
      <c r="F85" s="20" t="n">
        <v>48100</v>
      </c>
      <c r="G85" s="34" t="inlineStr">
        <is>
          <t>Partner-sourced</t>
        </is>
      </c>
    </row>
    <row r="86">
      <c r="A86" s="39" t="inlineStr">
        <is>
          <t>2024-02-15</t>
        </is>
      </c>
      <c r="B86" s="18" t="inlineStr">
        <is>
          <t>LATAM</t>
        </is>
      </c>
      <c r="C86" s="18" t="inlineStr">
        <is>
          <t>Alerts add-on</t>
        </is>
      </c>
      <c r="D86" s="18" t="inlineStr">
        <is>
          <t>SMB</t>
        </is>
      </c>
      <c r="E86" s="18" t="inlineStr">
        <is>
          <t>E. Nakamura</t>
        </is>
      </c>
      <c r="F86" s="20" t="n">
        <v>107100</v>
      </c>
      <c r="G86" s="34" t="inlineStr">
        <is>
          <t>Partner-sourced</t>
        </is>
      </c>
    </row>
    <row r="87">
      <c r="A87" s="39" t="inlineStr">
        <is>
          <t>2024-02-22</t>
        </is>
      </c>
      <c r="B87" s="18" t="inlineStr">
        <is>
          <t>LATAM</t>
        </is>
      </c>
      <c r="C87" s="18" t="inlineStr">
        <is>
          <t>Signal Core</t>
        </is>
      </c>
      <c r="D87" s="18" t="inlineStr">
        <is>
          <t>SMB</t>
        </is>
      </c>
      <c r="E87" s="18" t="inlineStr">
        <is>
          <t>C. Marín</t>
        </is>
      </c>
      <c r="F87" s="20" t="n">
        <v>76100</v>
      </c>
      <c r="G87" s="34" t="inlineStr">
        <is>
          <t>Partner-sourced</t>
        </is>
      </c>
    </row>
    <row r="88">
      <c r="A88" s="39" t="inlineStr">
        <is>
          <t>2024-02-29</t>
        </is>
      </c>
      <c r="B88" s="18" t="inlineStr">
        <is>
          <t>AMER East</t>
        </is>
      </c>
      <c r="C88" s="18" t="inlineStr">
        <is>
          <t>Embedded Reports</t>
        </is>
      </c>
      <c r="D88" s="18" t="inlineStr">
        <is>
          <t>SMB</t>
        </is>
      </c>
      <c r="E88" s="18" t="inlineStr">
        <is>
          <t>F. Duarte</t>
        </is>
      </c>
      <c r="F88" s="20" t="n">
        <v>135800</v>
      </c>
      <c r="G88" s="34" t="inlineStr">
        <is>
          <t>Competitive displacement</t>
        </is>
      </c>
    </row>
    <row r="89">
      <c r="A89" s="39" t="inlineStr">
        <is>
          <t>2024-02-07</t>
        </is>
      </c>
      <c r="B89" s="18" t="inlineStr">
        <is>
          <t>EMEA</t>
        </is>
      </c>
      <c r="C89" s="18" t="inlineStr">
        <is>
          <t>Alerts add-on</t>
        </is>
      </c>
      <c r="D89" s="18" t="inlineStr">
        <is>
          <t>SMB</t>
        </is>
      </c>
      <c r="E89" s="18" t="inlineStr">
        <is>
          <t>G. Halloran</t>
        </is>
      </c>
      <c r="F89" s="20" t="n">
        <v>63300</v>
      </c>
      <c r="G89" s="34" t="inlineStr">
        <is>
          <t>Ramped deal, year one</t>
        </is>
      </c>
    </row>
    <row r="90">
      <c r="A90" s="39" t="inlineStr">
        <is>
          <t>2024-02-14</t>
        </is>
      </c>
      <c r="B90" s="18" t="inlineStr">
        <is>
          <t>APAC</t>
        </is>
      </c>
      <c r="C90" s="18" t="inlineStr">
        <is>
          <t>Alerts add-on</t>
        </is>
      </c>
      <c r="D90" s="18" t="inlineStr">
        <is>
          <t>SMB</t>
        </is>
      </c>
      <c r="E90" s="18" t="inlineStr">
        <is>
          <t>G. Halloran</t>
        </is>
      </c>
      <c r="F90" s="20" t="n">
        <v>15900</v>
      </c>
      <c r="G90" s="34" t="inlineStr">
        <is>
          <t>Renewal uplift 7%</t>
        </is>
      </c>
    </row>
    <row r="91">
      <c r="A91" s="39" t="inlineStr">
        <is>
          <t>2024-02-21</t>
        </is>
      </c>
      <c r="B91" s="18" t="inlineStr">
        <is>
          <t>APAC</t>
        </is>
      </c>
      <c r="C91" s="18" t="inlineStr">
        <is>
          <t>Signal Pro</t>
        </is>
      </c>
      <c r="D91" s="18" t="inlineStr">
        <is>
          <t>SMB</t>
        </is>
      </c>
      <c r="E91" s="18" t="inlineStr">
        <is>
          <t>B. Lindqvist</t>
        </is>
      </c>
      <c r="F91" s="20" t="n">
        <v>29200</v>
      </c>
      <c r="G91" s="34" t="inlineStr">
        <is>
          <t>Renewal uplift 7%</t>
        </is>
      </c>
    </row>
    <row r="92">
      <c r="A92" s="39" t="inlineStr">
        <is>
          <t>2024-02-28</t>
        </is>
      </c>
      <c r="B92" s="18" t="inlineStr">
        <is>
          <t>AMER West</t>
        </is>
      </c>
      <c r="C92" s="18" t="inlineStr">
        <is>
          <t>Warehouse Connect</t>
        </is>
      </c>
      <c r="D92" s="18" t="inlineStr">
        <is>
          <t>Enterprise</t>
        </is>
      </c>
      <c r="E92" s="18" t="inlineStr">
        <is>
          <t>A. Okafor</t>
        </is>
      </c>
      <c r="F92" s="20" t="n">
        <v>46400</v>
      </c>
      <c r="G92" s="34" t="inlineStr">
        <is>
          <t>Competitive displacement</t>
        </is>
      </c>
    </row>
    <row r="93">
      <c r="A93" s="39" t="inlineStr">
        <is>
          <t>2024-02-06</t>
        </is>
      </c>
      <c r="B93" s="18" t="inlineStr">
        <is>
          <t>AMER East</t>
        </is>
      </c>
      <c r="C93" s="18" t="inlineStr">
        <is>
          <t>Signal Pro</t>
        </is>
      </c>
      <c r="D93" s="18" t="inlineStr">
        <is>
          <t>Mid-market</t>
        </is>
      </c>
      <c r="E93" s="18" t="inlineStr">
        <is>
          <t>K. Sørensen</t>
        </is>
      </c>
      <c r="F93" s="20" t="n">
        <v>53600</v>
      </c>
      <c r="G93" s="34" t="inlineStr">
        <is>
          <t>Co-term with parent</t>
        </is>
      </c>
    </row>
    <row r="94">
      <c r="A94" s="39" t="inlineStr">
        <is>
          <t>2024-02-13</t>
        </is>
      </c>
      <c r="B94" s="18" t="inlineStr">
        <is>
          <t>AMER East</t>
        </is>
      </c>
      <c r="C94" s="18" t="inlineStr">
        <is>
          <t>Signal Pro</t>
        </is>
      </c>
      <c r="D94" s="18" t="inlineStr">
        <is>
          <t>SMB</t>
        </is>
      </c>
      <c r="E94" s="18" t="inlineStr">
        <is>
          <t>J. Adeyemi</t>
        </is>
      </c>
      <c r="F94" s="20" t="n">
        <v>117900</v>
      </c>
      <c r="G94" s="34" t="inlineStr">
        <is>
          <t>Ramped deal, year one</t>
        </is>
      </c>
    </row>
    <row r="95">
      <c r="A95" s="39" t="inlineStr">
        <is>
          <t>2024-02-20</t>
        </is>
      </c>
      <c r="B95" s="18" t="inlineStr">
        <is>
          <t>AMER East</t>
        </is>
      </c>
      <c r="C95" s="18" t="inlineStr">
        <is>
          <t>Warehouse Connect</t>
        </is>
      </c>
      <c r="D95" s="18" t="inlineStr">
        <is>
          <t>SMB</t>
        </is>
      </c>
      <c r="E95" s="18" t="inlineStr">
        <is>
          <t>K. Sørensen</t>
        </is>
      </c>
      <c r="F95" s="20" t="n">
        <v>28900</v>
      </c>
      <c r="G95" s="34" t="inlineStr">
        <is>
          <t>Renewal uplift 7%</t>
        </is>
      </c>
    </row>
    <row r="96">
      <c r="A96" s="39" t="inlineStr">
        <is>
          <t>2024-02-27</t>
        </is>
      </c>
      <c r="B96" s="18" t="inlineStr">
        <is>
          <t>EMEA</t>
        </is>
      </c>
      <c r="C96" s="18" t="inlineStr">
        <is>
          <t>Embedded Reports</t>
        </is>
      </c>
      <c r="D96" s="18" t="inlineStr">
        <is>
          <t>Enterprise</t>
        </is>
      </c>
      <c r="E96" s="18" t="inlineStr">
        <is>
          <t>A. Okafor</t>
        </is>
      </c>
      <c r="F96" s="20" t="n">
        <v>103200</v>
      </c>
      <c r="G96" s="34" t="inlineStr">
        <is>
          <t>Pilot converted</t>
        </is>
      </c>
    </row>
    <row r="97">
      <c r="A97" s="39" t="inlineStr">
        <is>
          <t>2024-02-05</t>
        </is>
      </c>
      <c r="B97" s="18" t="inlineStr">
        <is>
          <t>AMER West</t>
        </is>
      </c>
      <c r="C97" s="18" t="inlineStr">
        <is>
          <t>Embedded Reports</t>
        </is>
      </c>
      <c r="D97" s="18" t="inlineStr">
        <is>
          <t>Mid-market</t>
        </is>
      </c>
      <c r="E97" s="18" t="inlineStr">
        <is>
          <t>F. Duarte</t>
        </is>
      </c>
      <c r="F97" s="20" t="n">
        <v>73100</v>
      </c>
      <c r="G97" s="34" t="inlineStr">
        <is>
          <t>Pilot converted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2024-03-10</t>
        </is>
      </c>
      <c r="B2" s="18" t="inlineStr">
        <is>
          <t>AMER East</t>
        </is>
      </c>
      <c r="C2" s="18" t="inlineStr">
        <is>
          <t>Warehouse Connect</t>
        </is>
      </c>
      <c r="D2" s="18" t="inlineStr">
        <is>
          <t>Enterprise</t>
        </is>
      </c>
      <c r="E2" s="18" t="inlineStr">
        <is>
          <t>C. Marín</t>
        </is>
      </c>
      <c r="F2" s="20" t="n">
        <v>123400</v>
      </c>
      <c r="G2" s="34" t="inlineStr">
        <is>
          <t>Rebate carried from legacy 10% promo</t>
        </is>
      </c>
    </row>
    <row r="3">
      <c r="A3" s="39" t="inlineStr">
        <is>
          <t>2024-03-17</t>
        </is>
      </c>
      <c r="B3" s="18" t="inlineStr">
        <is>
          <t>EMEA</t>
        </is>
      </c>
      <c r="C3" s="18" t="inlineStr">
        <is>
          <t>Warehouse Connect</t>
        </is>
      </c>
      <c r="D3" s="18" t="inlineStr">
        <is>
          <t>Enterprise</t>
        </is>
      </c>
      <c r="E3" s="18" t="inlineStr">
        <is>
          <t>B. Lindqvist</t>
        </is>
      </c>
      <c r="F3" s="20" t="n">
        <v>44800</v>
      </c>
      <c r="G3" s="34" t="inlineStr">
        <is>
          <t>Co-term with parent</t>
        </is>
      </c>
    </row>
    <row r="4">
      <c r="A4" s="39" t="inlineStr">
        <is>
          <t>2024-03-24</t>
        </is>
      </c>
      <c r="B4" s="18" t="inlineStr">
        <is>
          <t>AMER West</t>
        </is>
      </c>
      <c r="C4" s="18" t="inlineStr">
        <is>
          <t>Warehouse Connect</t>
        </is>
      </c>
      <c r="D4" s="18" t="inlineStr">
        <is>
          <t>SMB</t>
        </is>
      </c>
      <c r="E4" s="18" t="inlineStr">
        <is>
          <t>A. Okafor</t>
        </is>
      </c>
      <c r="F4" s="20" t="n">
        <v>57100</v>
      </c>
      <c r="G4" s="34" t="inlineStr">
        <is>
          <t>Ramped deal, year one</t>
        </is>
      </c>
    </row>
    <row r="5">
      <c r="A5" s="39" t="inlineStr">
        <is>
          <t>2024-03-31</t>
        </is>
      </c>
      <c r="B5" s="18" t="inlineStr">
        <is>
          <t>AMER West</t>
        </is>
      </c>
      <c r="C5" s="18" t="inlineStr">
        <is>
          <t>Embedded Reports</t>
        </is>
      </c>
      <c r="D5" s="18" t="inlineStr">
        <is>
          <t>SMB</t>
        </is>
      </c>
      <c r="E5" s="18" t="inlineStr">
        <is>
          <t>F. Duarte</t>
        </is>
      </c>
      <c r="F5" s="20" t="n">
        <v>40900</v>
      </c>
      <c r="G5" s="34" t="inlineStr">
        <is>
          <t>Ramped deal, year one</t>
        </is>
      </c>
    </row>
    <row r="6">
      <c r="A6" s="39" t="inlineStr">
        <is>
          <t>2024-03-07</t>
        </is>
      </c>
      <c r="B6" s="18" t="inlineStr">
        <is>
          <t>AMER East</t>
        </is>
      </c>
      <c r="C6" s="18" t="inlineStr">
        <is>
          <t>Signal Core</t>
        </is>
      </c>
      <c r="D6" s="18" t="inlineStr">
        <is>
          <t>SMB</t>
        </is>
      </c>
      <c r="E6" s="18" t="inlineStr">
        <is>
          <t>J. Adeyemi</t>
        </is>
      </c>
      <c r="F6" s="20" t="n">
        <v>51900</v>
      </c>
      <c r="G6" s="34" t="inlineStr">
        <is>
          <t>Renewal uplift 7%</t>
        </is>
      </c>
    </row>
    <row r="7">
      <c r="A7" s="39" t="inlineStr">
        <is>
          <t>2024-03-14</t>
        </is>
      </c>
      <c r="B7" s="18" t="inlineStr">
        <is>
          <t>EMEA</t>
        </is>
      </c>
      <c r="C7" s="18" t="inlineStr">
        <is>
          <t>Signal Core</t>
        </is>
      </c>
      <c r="D7" s="18" t="inlineStr">
        <is>
          <t>Mid-market</t>
        </is>
      </c>
      <c r="E7" s="18" t="inlineStr">
        <is>
          <t>E. Nakamura</t>
        </is>
      </c>
      <c r="F7" s="20" t="n">
        <v>125600</v>
      </c>
      <c r="G7" s="34" t="inlineStr">
        <is>
          <t>Pilot converted</t>
        </is>
      </c>
    </row>
    <row r="8">
      <c r="A8" s="39" t="inlineStr">
        <is>
          <t>2024-03-21</t>
        </is>
      </c>
      <c r="B8" s="18" t="inlineStr">
        <is>
          <t>AMER West</t>
        </is>
      </c>
      <c r="C8" s="18" t="inlineStr">
        <is>
          <t>Embedded Reports</t>
        </is>
      </c>
      <c r="D8" s="18" t="inlineStr">
        <is>
          <t>Mid-market</t>
        </is>
      </c>
      <c r="E8" s="18" t="inlineStr">
        <is>
          <t>H. Vasquez</t>
        </is>
      </c>
      <c r="F8" s="20" t="n">
        <v>63000</v>
      </c>
      <c r="G8" s="34" t="inlineStr">
        <is>
          <t>Ramped deal, year one</t>
        </is>
      </c>
    </row>
    <row r="9">
      <c r="A9" s="39" t="inlineStr">
        <is>
          <t>2024-03-28</t>
        </is>
      </c>
      <c r="B9" s="18" t="inlineStr">
        <is>
          <t>LATAM</t>
        </is>
      </c>
      <c r="C9" s="18" t="inlineStr">
        <is>
          <t>Alerts add-on</t>
        </is>
      </c>
      <c r="D9" s="18" t="inlineStr">
        <is>
          <t>Enterprise</t>
        </is>
      </c>
      <c r="E9" s="18" t="inlineStr">
        <is>
          <t>H. Vasquez</t>
        </is>
      </c>
      <c r="F9" s="20" t="n">
        <v>134700</v>
      </c>
      <c r="G9" s="34" t="inlineStr">
        <is>
          <t>Partner-sourced</t>
        </is>
      </c>
    </row>
    <row r="10">
      <c r="A10" s="39" t="inlineStr">
        <is>
          <t>2024-03-04</t>
        </is>
      </c>
      <c r="B10" s="18" t="inlineStr">
        <is>
          <t>LATAM</t>
        </is>
      </c>
      <c r="C10" s="18" t="inlineStr">
        <is>
          <t>Signal Pro</t>
        </is>
      </c>
      <c r="D10" s="18" t="inlineStr">
        <is>
          <t>Mid-market</t>
        </is>
      </c>
      <c r="E10" s="18" t="inlineStr">
        <is>
          <t>E. Nakamura</t>
        </is>
      </c>
      <c r="F10" s="20" t="n">
        <v>63500</v>
      </c>
      <c r="G10" s="34" t="inlineStr">
        <is>
          <t>Ramped deal, year one</t>
        </is>
      </c>
    </row>
    <row r="11">
      <c r="A11" s="39" t="inlineStr">
        <is>
          <t>2024-03-11</t>
        </is>
      </c>
      <c r="B11" s="18" t="inlineStr">
        <is>
          <t>LATAM</t>
        </is>
      </c>
      <c r="C11" s="18" t="inlineStr">
        <is>
          <t>Signal Pro</t>
        </is>
      </c>
      <c r="D11" s="18" t="inlineStr">
        <is>
          <t>Mid-market</t>
        </is>
      </c>
      <c r="E11" s="18" t="inlineStr">
        <is>
          <t>C. Marín</t>
        </is>
      </c>
      <c r="F11" s="20" t="n">
        <v>127800</v>
      </c>
      <c r="G11" s="34" t="inlineStr">
        <is>
          <t>Partner-sourced</t>
        </is>
      </c>
    </row>
    <row r="12">
      <c r="A12" s="39" t="inlineStr">
        <is>
          <t>2024-03-18</t>
        </is>
      </c>
      <c r="B12" s="18" t="inlineStr">
        <is>
          <t>AMER East</t>
        </is>
      </c>
      <c r="C12" s="18" t="inlineStr">
        <is>
          <t>Warehouse Connect</t>
        </is>
      </c>
      <c r="D12" s="18" t="inlineStr">
        <is>
          <t>Mid-market</t>
        </is>
      </c>
      <c r="E12" s="18" t="inlineStr">
        <is>
          <t>J. Adeyemi</t>
        </is>
      </c>
      <c r="F12" s="20" t="n">
        <v>61200</v>
      </c>
      <c r="G12" s="34" t="inlineStr">
        <is>
          <t>Renewal uplift 7%</t>
        </is>
      </c>
    </row>
    <row r="13">
      <c r="A13" s="39" t="inlineStr">
        <is>
          <t>2024-03-25</t>
        </is>
      </c>
      <c r="B13" s="18" t="inlineStr">
        <is>
          <t>EMEA</t>
        </is>
      </c>
      <c r="C13" s="18" t="inlineStr">
        <is>
          <t>Warehouse Connect</t>
        </is>
      </c>
      <c r="D13" s="18" t="inlineStr">
        <is>
          <t>Mid-market</t>
        </is>
      </c>
      <c r="E13" s="18" t="inlineStr">
        <is>
          <t>F. Duarte</t>
        </is>
      </c>
      <c r="F13" s="20" t="n">
        <v>6600</v>
      </c>
      <c r="G13" s="34" t="inlineStr">
        <is>
          <t>Standard list price</t>
        </is>
      </c>
    </row>
    <row r="14">
      <c r="A14" s="39" t="inlineStr">
        <is>
          <t>2024-03-01</t>
        </is>
      </c>
      <c r="B14" s="18" t="inlineStr">
        <is>
          <t>EMEA</t>
        </is>
      </c>
      <c r="C14" s="18" t="inlineStr">
        <is>
          <t>Signal Core</t>
        </is>
      </c>
      <c r="D14" s="18" t="inlineStr">
        <is>
          <t>Enterprise</t>
        </is>
      </c>
      <c r="E14" s="18" t="inlineStr">
        <is>
          <t>H. Vasquez</t>
        </is>
      </c>
      <c r="F14" s="20" t="n">
        <v>55600</v>
      </c>
      <c r="G14" s="34" t="inlineStr">
        <is>
          <t>Partner-sourced</t>
        </is>
      </c>
    </row>
    <row r="15">
      <c r="A15" s="39" t="inlineStr">
        <is>
          <t>2024-03-08</t>
        </is>
      </c>
      <c r="B15" s="18" t="inlineStr">
        <is>
          <t>LATAM</t>
        </is>
      </c>
      <c r="C15" s="18" t="inlineStr">
        <is>
          <t>Embedded Reports</t>
        </is>
      </c>
      <c r="D15" s="18" t="inlineStr">
        <is>
          <t>Mid-market</t>
        </is>
      </c>
      <c r="E15" s="18" t="inlineStr">
        <is>
          <t>J. Adeyemi</t>
        </is>
      </c>
      <c r="F15" s="20" t="n">
        <v>121000</v>
      </c>
      <c r="G15" s="34" t="inlineStr">
        <is>
          <t>Competitive displacement</t>
        </is>
      </c>
    </row>
    <row r="16">
      <c r="A16" s="39" t="inlineStr">
        <is>
          <t>2024-03-15</t>
        </is>
      </c>
      <c r="B16" s="18" t="inlineStr">
        <is>
          <t>LATAM</t>
        </is>
      </c>
      <c r="C16" s="18" t="inlineStr">
        <is>
          <t>Signal Core</t>
        </is>
      </c>
      <c r="D16" s="18" t="inlineStr">
        <is>
          <t>Enterprise</t>
        </is>
      </c>
      <c r="E16" s="18" t="inlineStr">
        <is>
          <t>G. Halloran</t>
        </is>
      </c>
      <c r="F16" s="20" t="n">
        <v>18400</v>
      </c>
      <c r="G16" s="34" t="inlineStr">
        <is>
          <t>Ramped deal, year one</t>
        </is>
      </c>
    </row>
    <row r="17">
      <c r="A17" s="39" t="inlineStr">
        <is>
          <t>2024-03-22</t>
        </is>
      </c>
      <c r="B17" s="18" t="inlineStr">
        <is>
          <t>EMEA</t>
        </is>
      </c>
      <c r="C17" s="18" t="inlineStr">
        <is>
          <t>Signal Pro</t>
        </is>
      </c>
      <c r="D17" s="18" t="inlineStr">
        <is>
          <t>Enterprise</t>
        </is>
      </c>
      <c r="E17" s="18" t="inlineStr">
        <is>
          <t>G. Halloran</t>
        </is>
      </c>
      <c r="F17" s="20" t="n">
        <v>74400</v>
      </c>
      <c r="G17" s="34" t="inlineStr">
        <is>
          <t>Renewal uplift 7%</t>
        </is>
      </c>
    </row>
    <row r="18">
      <c r="A18" s="39" t="inlineStr">
        <is>
          <t>2024-03-29</t>
        </is>
      </c>
      <c r="B18" s="18" t="inlineStr">
        <is>
          <t>AMER West</t>
        </is>
      </c>
      <c r="C18" s="18" t="inlineStr">
        <is>
          <t>Warehouse Connect</t>
        </is>
      </c>
      <c r="D18" s="18" t="inlineStr">
        <is>
          <t>Enterprise</t>
        </is>
      </c>
      <c r="E18" s="18" t="inlineStr">
        <is>
          <t>B. Lindqvist</t>
        </is>
      </c>
      <c r="F18" s="20" t="n">
        <v>21000</v>
      </c>
      <c r="G18" s="34" t="inlineStr">
        <is>
          <t>Renewal uplift 7%</t>
        </is>
      </c>
    </row>
    <row r="19">
      <c r="A19" s="39" t="inlineStr">
        <is>
          <t>2024-03-05</t>
        </is>
      </c>
      <c r="B19" s="18" t="inlineStr">
        <is>
          <t>LATAM</t>
        </is>
      </c>
      <c r="C19" s="18" t="inlineStr">
        <is>
          <t>Signal Core</t>
        </is>
      </c>
      <c r="D19" s="18" t="inlineStr">
        <is>
          <t>Mid-market</t>
        </is>
      </c>
      <c r="E19" s="18" t="inlineStr">
        <is>
          <t>K. Sørensen</t>
        </is>
      </c>
      <c r="F19" s="20" t="n">
        <v>70800</v>
      </c>
      <c r="G19" s="34" t="inlineStr">
        <is>
          <t>Co-term with parent</t>
        </is>
      </c>
    </row>
    <row r="20">
      <c r="A20" s="39" t="inlineStr">
        <is>
          <t>2024-03-12</t>
        </is>
      </c>
      <c r="B20" s="18" t="inlineStr">
        <is>
          <t>APAC</t>
        </is>
      </c>
      <c r="C20" s="18" t="inlineStr">
        <is>
          <t>Embedded Reports</t>
        </is>
      </c>
      <c r="D20" s="18" t="inlineStr">
        <is>
          <t>SMB</t>
        </is>
      </c>
      <c r="E20" s="18" t="inlineStr">
        <is>
          <t>J. Adeyemi</t>
        </is>
      </c>
      <c r="F20" s="20" t="n">
        <v>62500</v>
      </c>
      <c r="G20" s="34" t="inlineStr">
        <is>
          <t>Co-term with parent</t>
        </is>
      </c>
    </row>
    <row r="21">
      <c r="A21" s="39" t="inlineStr">
        <is>
          <t>2024-03-19</t>
        </is>
      </c>
      <c r="B21" s="18" t="inlineStr">
        <is>
          <t>EMEA</t>
        </is>
      </c>
      <c r="C21" s="18" t="inlineStr">
        <is>
          <t>Alerts add-on</t>
        </is>
      </c>
      <c r="D21" s="18" t="inlineStr">
        <is>
          <t>SMB</t>
        </is>
      </c>
      <c r="E21" s="18" t="inlineStr">
        <is>
          <t>G. Halloran</t>
        </is>
      </c>
      <c r="F21" s="20" t="n">
        <v>97800</v>
      </c>
      <c r="G21" s="34" t="inlineStr">
        <is>
          <t>Renewal uplift 7%</t>
        </is>
      </c>
    </row>
    <row r="22">
      <c r="A22" s="39" t="inlineStr">
        <is>
          <t>2024-03-26</t>
        </is>
      </c>
      <c r="B22" s="18" t="inlineStr">
        <is>
          <t>AMER East</t>
        </is>
      </c>
      <c r="C22" s="18" t="inlineStr">
        <is>
          <t>Signal Core</t>
        </is>
      </c>
      <c r="D22" s="18" t="inlineStr">
        <is>
          <t>Mid-market</t>
        </is>
      </c>
      <c r="E22" s="18" t="inlineStr">
        <is>
          <t>C. Marín</t>
        </is>
      </c>
      <c r="F22" s="20" t="n">
        <v>74600</v>
      </c>
      <c r="G22" s="34" t="inlineStr">
        <is>
          <t>Ramped deal, year one</t>
        </is>
      </c>
    </row>
    <row r="23">
      <c r="A23" s="39" t="inlineStr">
        <is>
          <t>2024-03-02</t>
        </is>
      </c>
      <c r="B23" s="18" t="inlineStr">
        <is>
          <t>AMER West</t>
        </is>
      </c>
      <c r="C23" s="18" t="inlineStr">
        <is>
          <t>Warehouse Connect</t>
        </is>
      </c>
      <c r="D23" s="18" t="inlineStr">
        <is>
          <t>Mid-market</t>
        </is>
      </c>
      <c r="E23" s="18" t="inlineStr">
        <is>
          <t>B. Lindqvist</t>
        </is>
      </c>
      <c r="F23" s="20" t="n">
        <v>64100</v>
      </c>
      <c r="G23" s="34" t="inlineStr">
        <is>
          <t>Pilot converted</t>
        </is>
      </c>
    </row>
    <row r="24">
      <c r="A24" s="39" t="inlineStr">
        <is>
          <t>2024-03-09</t>
        </is>
      </c>
      <c r="B24" s="18" t="inlineStr">
        <is>
          <t>AMER East</t>
        </is>
      </c>
      <c r="C24" s="18" t="inlineStr">
        <is>
          <t>Embedded Reports</t>
        </is>
      </c>
      <c r="D24" s="18" t="inlineStr">
        <is>
          <t>SMB</t>
        </is>
      </c>
      <c r="E24" s="18" t="inlineStr">
        <is>
          <t>J. Adeyemi</t>
        </is>
      </c>
      <c r="F24" s="20" t="n">
        <v>50000</v>
      </c>
      <c r="G24" s="34" t="inlineStr">
        <is>
          <t>Renewal uplift 7%</t>
        </is>
      </c>
    </row>
    <row r="25">
      <c r="A25" s="39" t="inlineStr">
        <is>
          <t>2024-03-16</t>
        </is>
      </c>
      <c r="B25" s="18" t="inlineStr">
        <is>
          <t>AMER East</t>
        </is>
      </c>
      <c r="C25" s="18" t="inlineStr">
        <is>
          <t>Alerts add-on</t>
        </is>
      </c>
      <c r="D25" s="18" t="inlineStr">
        <is>
          <t>SMB</t>
        </is>
      </c>
      <c r="E25" s="18" t="inlineStr">
        <is>
          <t>E. Nakamura</t>
        </is>
      </c>
      <c r="F25" s="20" t="n">
        <v>62700</v>
      </c>
      <c r="G25" s="34" t="inlineStr">
        <is>
          <t>Competitive displacement</t>
        </is>
      </c>
    </row>
    <row r="26">
      <c r="A26" s="39" t="inlineStr">
        <is>
          <t>2024-03-23</t>
        </is>
      </c>
      <c r="B26" s="18" t="inlineStr">
        <is>
          <t>AMER West</t>
        </is>
      </c>
      <c r="C26" s="18" t="inlineStr">
        <is>
          <t>Signal Core</t>
        </is>
      </c>
      <c r="D26" s="18" t="inlineStr">
        <is>
          <t>Enterprise</t>
        </is>
      </c>
      <c r="E26" s="18" t="inlineStr">
        <is>
          <t>G. Halloran</t>
        </is>
      </c>
      <c r="F26" s="20" t="n">
        <v>44400</v>
      </c>
      <c r="G26" s="34" t="inlineStr">
        <is>
          <t>Renewal uplift 7%</t>
        </is>
      </c>
    </row>
    <row r="27">
      <c r="A27" s="39" t="inlineStr">
        <is>
          <t>2024-03-30</t>
        </is>
      </c>
      <c r="B27" s="18" t="inlineStr">
        <is>
          <t>APAC</t>
        </is>
      </c>
      <c r="C27" s="18" t="inlineStr">
        <is>
          <t>Signal Pro</t>
        </is>
      </c>
      <c r="D27" s="18" t="inlineStr">
        <is>
          <t>SMB</t>
        </is>
      </c>
      <c r="E27" s="18" t="inlineStr">
        <is>
          <t>D. Chatterjee</t>
        </is>
      </c>
      <c r="F27" s="20" t="n">
        <v>111200</v>
      </c>
      <c r="G27" s="34" t="inlineStr">
        <is>
          <t>Renewal uplift 7%</t>
        </is>
      </c>
    </row>
    <row r="28">
      <c r="A28" s="39" t="inlineStr">
        <is>
          <t>2024-03-06</t>
        </is>
      </c>
      <c r="B28" s="18" t="inlineStr">
        <is>
          <t>AMER West</t>
        </is>
      </c>
      <c r="C28" s="18" t="inlineStr">
        <is>
          <t>Alerts add-on</t>
        </is>
      </c>
      <c r="D28" s="18" t="inlineStr">
        <is>
          <t>Enterprise</t>
        </is>
      </c>
      <c r="E28" s="18" t="inlineStr">
        <is>
          <t>C. Marín</t>
        </is>
      </c>
      <c r="F28" s="20" t="n">
        <v>6300</v>
      </c>
      <c r="G28" s="34" t="inlineStr">
        <is>
          <t>Competitive displacement</t>
        </is>
      </c>
    </row>
    <row r="29">
      <c r="A29" s="39" t="inlineStr">
        <is>
          <t>2024-03-13</t>
        </is>
      </c>
      <c r="B29" s="18" t="inlineStr">
        <is>
          <t>APAC</t>
        </is>
      </c>
      <c r="C29" s="18" t="inlineStr">
        <is>
          <t>Warehouse Connect</t>
        </is>
      </c>
      <c r="D29" s="18" t="inlineStr">
        <is>
          <t>Enterprise</t>
        </is>
      </c>
      <c r="E29" s="18" t="inlineStr">
        <is>
          <t>F. Duarte</t>
        </is>
      </c>
      <c r="F29" s="20" t="n">
        <v>110200</v>
      </c>
      <c r="G29" s="34" t="inlineStr">
        <is>
          <t>Renewal uplift 7%</t>
        </is>
      </c>
    </row>
    <row r="30">
      <c r="A30" s="39" t="inlineStr">
        <is>
          <t>2024-03-20</t>
        </is>
      </c>
      <c r="B30" s="18" t="inlineStr">
        <is>
          <t>EMEA</t>
        </is>
      </c>
      <c r="C30" s="18" t="inlineStr">
        <is>
          <t>Signal Pro</t>
        </is>
      </c>
      <c r="D30" s="18" t="inlineStr">
        <is>
          <t>Mid-market</t>
        </is>
      </c>
      <c r="E30" s="18" t="inlineStr">
        <is>
          <t>A. Okafor</t>
        </is>
      </c>
      <c r="F30" s="20" t="n">
        <v>21000</v>
      </c>
      <c r="G30" s="34" t="inlineStr">
        <is>
          <t>Co-term with parent</t>
        </is>
      </c>
    </row>
    <row r="31">
      <c r="A31" s="39" t="inlineStr">
        <is>
          <t>2024-03-27</t>
        </is>
      </c>
      <c r="B31" s="18" t="inlineStr">
        <is>
          <t>AMER West</t>
        </is>
      </c>
      <c r="C31" s="18" t="inlineStr">
        <is>
          <t>Embedded Reports</t>
        </is>
      </c>
      <c r="D31" s="18" t="inlineStr">
        <is>
          <t>SMB</t>
        </is>
      </c>
      <c r="E31" s="18" t="inlineStr">
        <is>
          <t>G. Halloran</t>
        </is>
      </c>
      <c r="F31" s="20" t="n">
        <v>47900</v>
      </c>
      <c r="G31" s="34" t="inlineStr">
        <is>
          <t>Multi-year prepay</t>
        </is>
      </c>
    </row>
    <row r="32">
      <c r="A32" s="39" t="inlineStr">
        <is>
          <t>2024-03-03</t>
        </is>
      </c>
      <c r="B32" s="18" t="inlineStr">
        <is>
          <t>EMEA</t>
        </is>
      </c>
      <c r="C32" s="18" t="inlineStr">
        <is>
          <t>Signal Pro</t>
        </is>
      </c>
      <c r="D32" s="18" t="inlineStr">
        <is>
          <t>Mid-market</t>
        </is>
      </c>
      <c r="E32" s="18" t="inlineStr">
        <is>
          <t>J. Adeyemi</t>
        </is>
      </c>
      <c r="F32" s="20" t="n">
        <v>27600</v>
      </c>
      <c r="G32" s="34" t="inlineStr">
        <is>
          <t>Competitive displacement</t>
        </is>
      </c>
    </row>
    <row r="33">
      <c r="A33" s="39" t="inlineStr">
        <is>
          <t>2024-03-10</t>
        </is>
      </c>
      <c r="B33" s="18" t="inlineStr">
        <is>
          <t>LATAM</t>
        </is>
      </c>
      <c r="C33" s="18" t="inlineStr">
        <is>
          <t>Warehouse Connect</t>
        </is>
      </c>
      <c r="D33" s="18" t="inlineStr">
        <is>
          <t>SMB</t>
        </is>
      </c>
      <c r="E33" s="18" t="inlineStr">
        <is>
          <t>K. Sørensen</t>
        </is>
      </c>
      <c r="F33" s="20" t="n">
        <v>60600</v>
      </c>
      <c r="G33" s="34" t="inlineStr">
        <is>
          <t>Ramped deal, year one</t>
        </is>
      </c>
    </row>
    <row r="34">
      <c r="A34" s="39" t="inlineStr">
        <is>
          <t>2024-03-17</t>
        </is>
      </c>
      <c r="B34" s="18" t="inlineStr">
        <is>
          <t>AMER West</t>
        </is>
      </c>
      <c r="C34" s="18" t="inlineStr">
        <is>
          <t>Signal Core</t>
        </is>
      </c>
      <c r="D34" s="18" t="inlineStr">
        <is>
          <t>Enterprise</t>
        </is>
      </c>
      <c r="E34" s="18" t="inlineStr">
        <is>
          <t>J. Adeyemi</t>
        </is>
      </c>
      <c r="F34" s="20" t="n">
        <v>48000</v>
      </c>
      <c r="G34" s="34" t="inlineStr">
        <is>
          <t>Standard list price</t>
        </is>
      </c>
    </row>
    <row r="35">
      <c r="A35" s="39" t="inlineStr">
        <is>
          <t>2024-03-24</t>
        </is>
      </c>
      <c r="B35" s="18" t="inlineStr">
        <is>
          <t>EMEA</t>
        </is>
      </c>
      <c r="C35" s="18" t="inlineStr">
        <is>
          <t>Signal Core</t>
        </is>
      </c>
      <c r="D35" s="18" t="inlineStr">
        <is>
          <t>Enterprise</t>
        </is>
      </c>
      <c r="E35" s="18" t="inlineStr">
        <is>
          <t>C. Marín</t>
        </is>
      </c>
      <c r="F35" s="20" t="n">
        <v>102300</v>
      </c>
      <c r="G35" s="34" t="inlineStr">
        <is>
          <t>Pilot converted</t>
        </is>
      </c>
    </row>
    <row r="36">
      <c r="A36" s="39" t="inlineStr">
        <is>
          <t>2024-03-31</t>
        </is>
      </c>
      <c r="B36" s="18" t="inlineStr">
        <is>
          <t>AMER East</t>
        </is>
      </c>
      <c r="C36" s="18" t="inlineStr">
        <is>
          <t>Embedded Reports</t>
        </is>
      </c>
      <c r="D36" s="18" t="inlineStr">
        <is>
          <t>SMB</t>
        </is>
      </c>
      <c r="E36" s="18" t="inlineStr">
        <is>
          <t>H. Vasquez</t>
        </is>
      </c>
      <c r="F36" s="20" t="n">
        <v>51000</v>
      </c>
      <c r="G36" s="34" t="inlineStr">
        <is>
          <t>Partner-sourced</t>
        </is>
      </c>
    </row>
    <row r="37">
      <c r="A37" s="39" t="inlineStr">
        <is>
          <t>2024-03-07</t>
        </is>
      </c>
      <c r="B37" s="18" t="inlineStr">
        <is>
          <t>APAC</t>
        </is>
      </c>
      <c r="C37" s="18" t="inlineStr">
        <is>
          <t>Signal Core</t>
        </is>
      </c>
      <c r="D37" s="18" t="inlineStr">
        <is>
          <t>SMB</t>
        </is>
      </c>
      <c r="E37" s="18" t="inlineStr">
        <is>
          <t>B. Lindqvist</t>
        </is>
      </c>
      <c r="F37" s="20" t="n">
        <v>21900</v>
      </c>
      <c r="G37" s="34" t="inlineStr">
        <is>
          <t>Co-term with parent</t>
        </is>
      </c>
    </row>
    <row r="38">
      <c r="A38" s="39" t="inlineStr">
        <is>
          <t>2024-03-14</t>
        </is>
      </c>
      <c r="B38" s="18" t="inlineStr">
        <is>
          <t>AMER East</t>
        </is>
      </c>
      <c r="C38" s="18" t="inlineStr">
        <is>
          <t>Signal Pro</t>
        </is>
      </c>
      <c r="D38" s="18" t="inlineStr">
        <is>
          <t>SMB</t>
        </is>
      </c>
      <c r="E38" s="18" t="inlineStr">
        <is>
          <t>G. Halloran</t>
        </is>
      </c>
      <c r="F38" s="20" t="n">
        <v>100200</v>
      </c>
      <c r="G38" s="34" t="inlineStr">
        <is>
          <t>Competitive displacement</t>
        </is>
      </c>
    </row>
    <row r="39">
      <c r="A39" s="39" t="inlineStr">
        <is>
          <t>2024-03-21</t>
        </is>
      </c>
      <c r="B39" s="18" t="inlineStr">
        <is>
          <t>AMER East</t>
        </is>
      </c>
      <c r="C39" s="18" t="inlineStr">
        <is>
          <t>Embedded Reports</t>
        </is>
      </c>
      <c r="D39" s="18" t="inlineStr">
        <is>
          <t>Mid-market</t>
        </is>
      </c>
      <c r="E39" s="18" t="inlineStr">
        <is>
          <t>A. Okafor</t>
        </is>
      </c>
      <c r="F39" s="20" t="n">
        <v>24100</v>
      </c>
      <c r="G39" s="34" t="inlineStr">
        <is>
          <t>Pilot converted</t>
        </is>
      </c>
    </row>
    <row r="40">
      <c r="A40" s="39" t="inlineStr">
        <is>
          <t>2024-03-28</t>
        </is>
      </c>
      <c r="B40" s="18" t="inlineStr">
        <is>
          <t>EMEA</t>
        </is>
      </c>
      <c r="C40" s="18" t="inlineStr">
        <is>
          <t>Embedded Reports</t>
        </is>
      </c>
      <c r="D40" s="18" t="inlineStr">
        <is>
          <t>SMB</t>
        </is>
      </c>
      <c r="E40" s="18" t="inlineStr">
        <is>
          <t>A. Okafor</t>
        </is>
      </c>
      <c r="F40" s="20" t="n">
        <v>4800</v>
      </c>
      <c r="G40" s="34" t="inlineStr">
        <is>
          <t>Renewal uplift 7%</t>
        </is>
      </c>
    </row>
    <row r="41">
      <c r="A41" s="39" t="inlineStr">
        <is>
          <t>2024-03-04</t>
        </is>
      </c>
      <c r="B41" s="18" t="inlineStr">
        <is>
          <t>AMER East</t>
        </is>
      </c>
      <c r="C41" s="18" t="inlineStr">
        <is>
          <t>Signal Core</t>
        </is>
      </c>
      <c r="D41" s="18" t="inlineStr">
        <is>
          <t>SMB</t>
        </is>
      </c>
      <c r="E41" s="18" t="inlineStr">
        <is>
          <t>F. Duarte</t>
        </is>
      </c>
      <c r="F41" s="20" t="n">
        <v>42500</v>
      </c>
      <c r="G41" s="34" t="inlineStr">
        <is>
          <t>Multi-year prepay</t>
        </is>
      </c>
    </row>
    <row r="42">
      <c r="A42" s="39" t="inlineStr">
        <is>
          <t>2024-03-11</t>
        </is>
      </c>
      <c r="B42" s="18" t="inlineStr">
        <is>
          <t>APAC</t>
        </is>
      </c>
      <c r="C42" s="18" t="inlineStr">
        <is>
          <t>Warehouse Connect</t>
        </is>
      </c>
      <c r="D42" s="18" t="inlineStr">
        <is>
          <t>Enterprise</t>
        </is>
      </c>
      <c r="E42" s="18" t="inlineStr">
        <is>
          <t>K. Sørensen</t>
        </is>
      </c>
      <c r="F42" s="20" t="n">
        <v>52800</v>
      </c>
      <c r="G42" s="34" t="inlineStr">
        <is>
          <t>Pilot converted</t>
        </is>
      </c>
    </row>
    <row r="43">
      <c r="A43" s="39" t="inlineStr">
        <is>
          <t>2024-03-18</t>
        </is>
      </c>
      <c r="B43" s="18" t="inlineStr">
        <is>
          <t>APAC</t>
        </is>
      </c>
      <c r="C43" s="18" t="inlineStr">
        <is>
          <t>Warehouse Connect</t>
        </is>
      </c>
      <c r="D43" s="18" t="inlineStr">
        <is>
          <t>SMB</t>
        </is>
      </c>
      <c r="E43" s="18" t="inlineStr">
        <is>
          <t>H. Vasquez</t>
        </is>
      </c>
      <c r="F43" s="20" t="n">
        <v>220200</v>
      </c>
      <c r="G43" s="34" t="inlineStr">
        <is>
          <t>Ramped deal, year one</t>
        </is>
      </c>
    </row>
    <row r="44">
      <c r="A44" s="39" t="inlineStr">
        <is>
          <t>2024-03-25</t>
        </is>
      </c>
      <c r="B44" s="18" t="inlineStr">
        <is>
          <t>LATAM</t>
        </is>
      </c>
      <c r="C44" s="18" t="inlineStr">
        <is>
          <t>Warehouse Connect</t>
        </is>
      </c>
      <c r="D44" s="18" t="inlineStr">
        <is>
          <t>Mid-market</t>
        </is>
      </c>
      <c r="E44" s="18" t="inlineStr">
        <is>
          <t>J. Adeyemi</t>
        </is>
      </c>
      <c r="F44" s="20" t="n">
        <v>56400</v>
      </c>
      <c r="G44" s="34" t="inlineStr">
        <is>
          <t>Standard list price</t>
        </is>
      </c>
    </row>
    <row r="45">
      <c r="A45" s="39" t="inlineStr">
        <is>
          <t>2024-03-01</t>
        </is>
      </c>
      <c r="B45" s="18" t="inlineStr">
        <is>
          <t>EMEA</t>
        </is>
      </c>
      <c r="C45" s="18" t="inlineStr">
        <is>
          <t>Embedded Reports</t>
        </is>
      </c>
      <c r="D45" s="18" t="inlineStr">
        <is>
          <t>Mid-market</t>
        </is>
      </c>
      <c r="E45" s="18" t="inlineStr">
        <is>
          <t>C. Marín</t>
        </is>
      </c>
      <c r="F45" s="20" t="n">
        <v>45500</v>
      </c>
      <c r="G45" s="34" t="inlineStr">
        <is>
          <t>Multi-year prepay</t>
        </is>
      </c>
    </row>
    <row r="46">
      <c r="A46" s="39" t="inlineStr">
        <is>
          <t>2024-03-08</t>
        </is>
      </c>
      <c r="B46" s="18" t="inlineStr">
        <is>
          <t>APAC</t>
        </is>
      </c>
      <c r="C46" s="18" t="inlineStr">
        <is>
          <t>Warehouse Connect</t>
        </is>
      </c>
      <c r="D46" s="18" t="inlineStr">
        <is>
          <t>Enterprise</t>
        </is>
      </c>
      <c r="E46" s="18" t="inlineStr">
        <is>
          <t>H. Vasquez</t>
        </is>
      </c>
      <c r="F46" s="20" t="n">
        <v>59500</v>
      </c>
      <c r="G46" s="34" t="inlineStr">
        <is>
          <t>Pilot converted</t>
        </is>
      </c>
    </row>
    <row r="47">
      <c r="A47" s="39" t="inlineStr">
        <is>
          <t>2024-03-15</t>
        </is>
      </c>
      <c r="B47" s="18" t="inlineStr">
        <is>
          <t>APAC</t>
        </is>
      </c>
      <c r="C47" s="18" t="inlineStr">
        <is>
          <t>Signal Pro</t>
        </is>
      </c>
      <c r="D47" s="18" t="inlineStr">
        <is>
          <t>Mid-market</t>
        </is>
      </c>
      <c r="E47" s="18" t="inlineStr">
        <is>
          <t>D. Chatterjee</t>
        </is>
      </c>
      <c r="F47" s="20" t="n">
        <v>91000</v>
      </c>
      <c r="G47" s="34" t="inlineStr">
        <is>
          <t>Pilot converted</t>
        </is>
      </c>
    </row>
    <row r="48">
      <c r="A48" s="39" t="inlineStr">
        <is>
          <t>2024-03-22</t>
        </is>
      </c>
      <c r="B48" s="18" t="inlineStr">
        <is>
          <t>APAC</t>
        </is>
      </c>
      <c r="C48" s="18" t="inlineStr">
        <is>
          <t>Signal Core</t>
        </is>
      </c>
      <c r="D48" s="18" t="inlineStr">
        <is>
          <t>Mid-market</t>
        </is>
      </c>
      <c r="E48" s="18" t="inlineStr">
        <is>
          <t>B. Lindqvist</t>
        </is>
      </c>
      <c r="F48" s="20" t="n">
        <v>133800</v>
      </c>
      <c r="G48" s="34" t="inlineStr">
        <is>
          <t>Ramped deal, year one</t>
        </is>
      </c>
    </row>
    <row r="49">
      <c r="A49" s="39" t="inlineStr">
        <is>
          <t>2024-03-29</t>
        </is>
      </c>
      <c r="B49" s="18" t="inlineStr">
        <is>
          <t>APAC</t>
        </is>
      </c>
      <c r="C49" s="18" t="inlineStr">
        <is>
          <t>Warehouse Connect</t>
        </is>
      </c>
      <c r="D49" s="18" t="inlineStr">
        <is>
          <t>SMB</t>
        </is>
      </c>
      <c r="E49" s="18" t="inlineStr">
        <is>
          <t>H. Vasquez</t>
        </is>
      </c>
      <c r="F49" s="20" t="n">
        <v>88400</v>
      </c>
      <c r="G49" s="34" t="inlineStr">
        <is>
          <t>Renewal uplift 7%</t>
        </is>
      </c>
    </row>
    <row r="50">
      <c r="A50" s="39" t="inlineStr">
        <is>
          <t>2024-03-05</t>
        </is>
      </c>
      <c r="B50" s="18" t="inlineStr">
        <is>
          <t>LATAM</t>
        </is>
      </c>
      <c r="C50" s="18" t="inlineStr">
        <is>
          <t>Warehouse Connect</t>
        </is>
      </c>
      <c r="D50" s="18" t="inlineStr">
        <is>
          <t>Enterprise</t>
        </is>
      </c>
      <c r="E50" s="18" t="inlineStr">
        <is>
          <t>H. Vasquez</t>
        </is>
      </c>
      <c r="F50" s="20" t="n">
        <v>28800</v>
      </c>
      <c r="G50" s="34" t="inlineStr">
        <is>
          <t>Ramped deal, year one</t>
        </is>
      </c>
    </row>
    <row r="51">
      <c r="A51" s="39" t="inlineStr">
        <is>
          <t>2024-03-12</t>
        </is>
      </c>
      <c r="B51" s="18" t="inlineStr">
        <is>
          <t>AMER West</t>
        </is>
      </c>
      <c r="C51" s="18" t="inlineStr">
        <is>
          <t>Embedded Reports</t>
        </is>
      </c>
      <c r="D51" s="18" t="inlineStr">
        <is>
          <t>Mid-market</t>
        </is>
      </c>
      <c r="E51" s="18" t="inlineStr">
        <is>
          <t>E. Nakamura</t>
        </is>
      </c>
      <c r="F51" s="20" t="n">
        <v>73200</v>
      </c>
      <c r="G51" s="34" t="inlineStr">
        <is>
          <t>Ramped deal, year one</t>
        </is>
      </c>
    </row>
    <row r="52">
      <c r="A52" s="39" t="inlineStr">
        <is>
          <t>2024-03-19</t>
        </is>
      </c>
      <c r="B52" s="18" t="inlineStr">
        <is>
          <t>LATAM</t>
        </is>
      </c>
      <c r="C52" s="18" t="inlineStr">
        <is>
          <t>Embedded Reports</t>
        </is>
      </c>
      <c r="D52" s="18" t="inlineStr">
        <is>
          <t>Enterprise</t>
        </is>
      </c>
      <c r="E52" s="18" t="inlineStr">
        <is>
          <t>E. Nakamura</t>
        </is>
      </c>
      <c r="F52" s="20" t="n">
        <v>66700</v>
      </c>
      <c r="G52" s="34" t="inlineStr">
        <is>
          <t>Competitive displacement</t>
        </is>
      </c>
    </row>
    <row r="53">
      <c r="A53" s="39" t="inlineStr">
        <is>
          <t>2024-03-26</t>
        </is>
      </c>
      <c r="B53" s="18" t="inlineStr">
        <is>
          <t>LATAM</t>
        </is>
      </c>
      <c r="C53" s="18" t="inlineStr">
        <is>
          <t>Embedded Reports</t>
        </is>
      </c>
      <c r="D53" s="18" t="inlineStr">
        <is>
          <t>Enterprise</t>
        </is>
      </c>
      <c r="E53" s="18" t="inlineStr">
        <is>
          <t>C. Marín</t>
        </is>
      </c>
      <c r="F53" s="20" t="n">
        <v>47600</v>
      </c>
      <c r="G53" s="34" t="inlineStr">
        <is>
          <t>Ramped deal, year one</t>
        </is>
      </c>
    </row>
    <row r="54">
      <c r="A54" s="39" t="inlineStr">
        <is>
          <t>2024-03-02</t>
        </is>
      </c>
      <c r="B54" s="18" t="inlineStr">
        <is>
          <t>LATAM</t>
        </is>
      </c>
      <c r="C54" s="18" t="inlineStr">
        <is>
          <t>Embedded Reports</t>
        </is>
      </c>
      <c r="D54" s="18" t="inlineStr">
        <is>
          <t>Mid-market</t>
        </is>
      </c>
      <c r="E54" s="18" t="inlineStr">
        <is>
          <t>G. Halloran</t>
        </is>
      </c>
      <c r="F54" s="20" t="n">
        <v>78900</v>
      </c>
      <c r="G54" s="34" t="inlineStr">
        <is>
          <t>Renewal uplift 7%</t>
        </is>
      </c>
    </row>
    <row r="55">
      <c r="A55" s="39" t="inlineStr">
        <is>
          <t>2024-03-09</t>
        </is>
      </c>
      <c r="B55" s="18" t="inlineStr">
        <is>
          <t>AMER West</t>
        </is>
      </c>
      <c r="C55" s="18" t="inlineStr">
        <is>
          <t>Signal Core</t>
        </is>
      </c>
      <c r="D55" s="18" t="inlineStr">
        <is>
          <t>SMB</t>
        </is>
      </c>
      <c r="E55" s="18" t="inlineStr">
        <is>
          <t>B. Lindqvist</t>
        </is>
      </c>
      <c r="F55" s="20" t="n">
        <v>131700</v>
      </c>
      <c r="G55" s="34" t="inlineStr">
        <is>
          <t>Partner-sourced</t>
        </is>
      </c>
    </row>
    <row r="56">
      <c r="A56" s="39" t="inlineStr">
        <is>
          <t>2024-03-16</t>
        </is>
      </c>
      <c r="B56" s="18" t="inlineStr">
        <is>
          <t>AMER East</t>
        </is>
      </c>
      <c r="C56" s="18" t="inlineStr">
        <is>
          <t>Embedded Reports</t>
        </is>
      </c>
      <c r="D56" s="18" t="inlineStr">
        <is>
          <t>Mid-market</t>
        </is>
      </c>
      <c r="E56" s="18" t="inlineStr">
        <is>
          <t>K. Sørensen</t>
        </is>
      </c>
      <c r="F56" s="20" t="n">
        <v>69900</v>
      </c>
      <c r="G56" s="34" t="inlineStr">
        <is>
          <t>Standard list price</t>
        </is>
      </c>
    </row>
    <row r="57">
      <c r="A57" s="39" t="inlineStr">
        <is>
          <t>2024-03-23</t>
        </is>
      </c>
      <c r="B57" s="18" t="inlineStr">
        <is>
          <t>APAC</t>
        </is>
      </c>
      <c r="C57" s="18" t="inlineStr">
        <is>
          <t>Signal Pro</t>
        </is>
      </c>
      <c r="D57" s="18" t="inlineStr">
        <is>
          <t>SMB</t>
        </is>
      </c>
      <c r="E57" s="18" t="inlineStr">
        <is>
          <t>F. Duarte</t>
        </is>
      </c>
      <c r="F57" s="20" t="n">
        <v>46300</v>
      </c>
      <c r="G57" s="34" t="inlineStr">
        <is>
          <t>Ramped deal, year one</t>
        </is>
      </c>
    </row>
    <row r="58">
      <c r="A58" s="39" t="inlineStr">
        <is>
          <t>2024-03-30</t>
        </is>
      </c>
      <c r="B58" s="18" t="inlineStr">
        <is>
          <t>EMEA</t>
        </is>
      </c>
      <c r="C58" s="18" t="inlineStr">
        <is>
          <t>Signal Pro</t>
        </is>
      </c>
      <c r="D58" s="18" t="inlineStr">
        <is>
          <t>Mid-market</t>
        </is>
      </c>
      <c r="E58" s="18" t="inlineStr">
        <is>
          <t>C. Marín</t>
        </is>
      </c>
      <c r="F58" s="20" t="n">
        <v>21500</v>
      </c>
      <c r="G58" s="34" t="inlineStr">
        <is>
          <t>Ramped deal, year one</t>
        </is>
      </c>
    </row>
    <row r="59">
      <c r="A59" s="39" t="inlineStr">
        <is>
          <t>2024-03-06</t>
        </is>
      </c>
      <c r="B59" s="18" t="inlineStr">
        <is>
          <t>AMER West</t>
        </is>
      </c>
      <c r="C59" s="18" t="inlineStr">
        <is>
          <t>Alerts add-on</t>
        </is>
      </c>
      <c r="D59" s="18" t="inlineStr">
        <is>
          <t>SMB</t>
        </is>
      </c>
      <c r="E59" s="18" t="inlineStr">
        <is>
          <t>C. Marín</t>
        </is>
      </c>
      <c r="F59" s="20" t="n">
        <v>61300</v>
      </c>
      <c r="G59" s="34" t="inlineStr">
        <is>
          <t>Partner-sourced</t>
        </is>
      </c>
    </row>
    <row r="60">
      <c r="A60" s="39" t="inlineStr">
        <is>
          <t>2024-03-13</t>
        </is>
      </c>
      <c r="B60" s="18" t="inlineStr">
        <is>
          <t>LATAM</t>
        </is>
      </c>
      <c r="C60" s="18" t="inlineStr">
        <is>
          <t>Embedded Reports</t>
        </is>
      </c>
      <c r="D60" s="18" t="inlineStr">
        <is>
          <t>Enterprise</t>
        </is>
      </c>
      <c r="E60" s="18" t="inlineStr">
        <is>
          <t>K. Sørensen</t>
        </is>
      </c>
      <c r="F60" s="20" t="n">
        <v>34400</v>
      </c>
      <c r="G60" s="34" t="inlineStr">
        <is>
          <t>Multi-year prepay</t>
        </is>
      </c>
    </row>
    <row r="61">
      <c r="A61" s="39" t="inlineStr">
        <is>
          <t>2024-03-20</t>
        </is>
      </c>
      <c r="B61" s="18" t="inlineStr">
        <is>
          <t>APAC</t>
        </is>
      </c>
      <c r="C61" s="18" t="inlineStr">
        <is>
          <t>Signal Pro</t>
        </is>
      </c>
      <c r="D61" s="18" t="inlineStr">
        <is>
          <t>SMB</t>
        </is>
      </c>
      <c r="E61" s="18" t="inlineStr">
        <is>
          <t>J. Adeyemi</t>
        </is>
      </c>
      <c r="F61" s="20" t="n">
        <v>7000</v>
      </c>
      <c r="G61" s="34" t="inlineStr">
        <is>
          <t>Ramped deal, year one</t>
        </is>
      </c>
    </row>
    <row r="62">
      <c r="A62" s="39" t="inlineStr">
        <is>
          <t>2024-03-27</t>
        </is>
      </c>
      <c r="B62" s="18" t="inlineStr">
        <is>
          <t>EMEA</t>
        </is>
      </c>
      <c r="C62" s="18" t="inlineStr">
        <is>
          <t>Signal Core</t>
        </is>
      </c>
      <c r="D62" s="18" t="inlineStr">
        <is>
          <t>Enterprise</t>
        </is>
      </c>
      <c r="E62" s="18" t="inlineStr">
        <is>
          <t>J. Adeyemi</t>
        </is>
      </c>
      <c r="F62" s="20" t="n">
        <v>147600</v>
      </c>
      <c r="G62" s="34" t="inlineStr">
        <is>
          <t>Pilot converted</t>
        </is>
      </c>
    </row>
    <row r="63">
      <c r="A63" s="39" t="inlineStr">
        <is>
          <t>2024-03-03</t>
        </is>
      </c>
      <c r="B63" s="18" t="inlineStr">
        <is>
          <t>EMEA</t>
        </is>
      </c>
      <c r="C63" s="18" t="inlineStr">
        <is>
          <t>Signal Pro</t>
        </is>
      </c>
      <c r="D63" s="18" t="inlineStr">
        <is>
          <t>Enterprise</t>
        </is>
      </c>
      <c r="E63" s="18" t="inlineStr">
        <is>
          <t>J. Adeyemi</t>
        </is>
      </c>
      <c r="F63" s="20" t="n">
        <v>20000</v>
      </c>
      <c r="G63" s="34" t="inlineStr">
        <is>
          <t>Multi-year prepay</t>
        </is>
      </c>
    </row>
    <row r="64">
      <c r="A64" s="39" t="inlineStr">
        <is>
          <t>2024-03-10</t>
        </is>
      </c>
      <c r="B64" s="18" t="inlineStr">
        <is>
          <t>EMEA</t>
        </is>
      </c>
      <c r="C64" s="18" t="inlineStr">
        <is>
          <t>Signal Pro</t>
        </is>
      </c>
      <c r="D64" s="18" t="inlineStr">
        <is>
          <t>Enterprise</t>
        </is>
      </c>
      <c r="E64" s="18" t="inlineStr">
        <is>
          <t>C. Marín</t>
        </is>
      </c>
      <c r="F64" s="20" t="n">
        <v>23200</v>
      </c>
      <c r="G64" s="34" t="inlineStr">
        <is>
          <t>Multi-year prepay</t>
        </is>
      </c>
    </row>
    <row r="65">
      <c r="A65" s="39" t="inlineStr">
        <is>
          <t>2024-03-17</t>
        </is>
      </c>
      <c r="B65" s="18" t="inlineStr">
        <is>
          <t>APAC</t>
        </is>
      </c>
      <c r="C65" s="18" t="inlineStr">
        <is>
          <t>Signal Pro</t>
        </is>
      </c>
      <c r="D65" s="18" t="inlineStr">
        <is>
          <t>SMB</t>
        </is>
      </c>
      <c r="E65" s="18" t="inlineStr">
        <is>
          <t>G. Halloran</t>
        </is>
      </c>
      <c r="F65" s="20" t="n">
        <v>61000</v>
      </c>
      <c r="G65" s="34" t="inlineStr">
        <is>
          <t>Co-term with parent</t>
        </is>
      </c>
    </row>
    <row r="66">
      <c r="A66" s="39" t="inlineStr">
        <is>
          <t>2024-03-24</t>
        </is>
      </c>
      <c r="B66" s="18" t="inlineStr">
        <is>
          <t>APAC</t>
        </is>
      </c>
      <c r="C66" s="18" t="inlineStr">
        <is>
          <t>Alerts add-on</t>
        </is>
      </c>
      <c r="D66" s="18" t="inlineStr">
        <is>
          <t>Mid-market</t>
        </is>
      </c>
      <c r="E66" s="18" t="inlineStr">
        <is>
          <t>H. Vasquez</t>
        </is>
      </c>
      <c r="F66" s="20" t="n">
        <v>9300</v>
      </c>
      <c r="G66" s="34" t="inlineStr">
        <is>
          <t>Competitive displacement</t>
        </is>
      </c>
    </row>
    <row r="67">
      <c r="A67" s="39" t="inlineStr">
        <is>
          <t>2024-03-31</t>
        </is>
      </c>
      <c r="B67" s="18" t="inlineStr">
        <is>
          <t>AMER West</t>
        </is>
      </c>
      <c r="C67" s="18" t="inlineStr">
        <is>
          <t>Warehouse Connect</t>
        </is>
      </c>
      <c r="D67" s="18" t="inlineStr">
        <is>
          <t>Enterprise</t>
        </is>
      </c>
      <c r="E67" s="18" t="inlineStr">
        <is>
          <t>G. Halloran</t>
        </is>
      </c>
      <c r="F67" s="20" t="n">
        <v>35200</v>
      </c>
      <c r="G67" s="34" t="inlineStr">
        <is>
          <t>Multi-year prepay</t>
        </is>
      </c>
    </row>
    <row r="68">
      <c r="A68" s="39" t="inlineStr">
        <is>
          <t>2024-03-07</t>
        </is>
      </c>
      <c r="B68" s="18" t="inlineStr">
        <is>
          <t>APAC</t>
        </is>
      </c>
      <c r="C68" s="18" t="inlineStr">
        <is>
          <t>Alerts add-on</t>
        </is>
      </c>
      <c r="D68" s="18" t="inlineStr">
        <is>
          <t>Enterprise</t>
        </is>
      </c>
      <c r="E68" s="18" t="inlineStr">
        <is>
          <t>H. Vasquez</t>
        </is>
      </c>
      <c r="F68" s="20" t="n">
        <v>17700</v>
      </c>
      <c r="G68" s="34" t="inlineStr">
        <is>
          <t>Multi-year prepay</t>
        </is>
      </c>
    </row>
    <row r="69">
      <c r="A69" s="39" t="inlineStr">
        <is>
          <t>2024-03-14</t>
        </is>
      </c>
      <c r="B69" s="18" t="inlineStr">
        <is>
          <t>LATAM</t>
        </is>
      </c>
      <c r="C69" s="18" t="inlineStr">
        <is>
          <t>Warehouse Connect</t>
        </is>
      </c>
      <c r="D69" s="18" t="inlineStr">
        <is>
          <t>SMB</t>
        </is>
      </c>
      <c r="E69" s="18" t="inlineStr">
        <is>
          <t>D. Chatterjee</t>
        </is>
      </c>
      <c r="F69" s="20" t="n">
        <v>36400</v>
      </c>
      <c r="G69" s="34" t="inlineStr">
        <is>
          <t>Multi-year prepay</t>
        </is>
      </c>
    </row>
    <row r="70">
      <c r="A70" s="39" t="inlineStr">
        <is>
          <t>2024-03-21</t>
        </is>
      </c>
      <c r="B70" s="18" t="inlineStr">
        <is>
          <t>LATAM</t>
        </is>
      </c>
      <c r="C70" s="18" t="inlineStr">
        <is>
          <t>Warehouse Connect</t>
        </is>
      </c>
      <c r="D70" s="18" t="inlineStr">
        <is>
          <t>Enterprise</t>
        </is>
      </c>
      <c r="E70" s="18" t="inlineStr">
        <is>
          <t>C. Marín</t>
        </is>
      </c>
      <c r="F70" s="20" t="n">
        <v>118200</v>
      </c>
      <c r="G70" s="34" t="inlineStr">
        <is>
          <t>Partner-sourced</t>
        </is>
      </c>
    </row>
    <row r="71">
      <c r="A71" s="39" t="inlineStr">
        <is>
          <t>2024-03-28</t>
        </is>
      </c>
      <c r="B71" s="18" t="inlineStr">
        <is>
          <t>AMER East</t>
        </is>
      </c>
      <c r="C71" s="18" t="inlineStr">
        <is>
          <t>Signal Core</t>
        </is>
      </c>
      <c r="D71" s="18" t="inlineStr">
        <is>
          <t>Enterprise</t>
        </is>
      </c>
      <c r="E71" s="18" t="inlineStr">
        <is>
          <t>K. Sørensen</t>
        </is>
      </c>
      <c r="F71" s="20" t="n">
        <v>54800</v>
      </c>
      <c r="G71" s="34" t="inlineStr">
        <is>
          <t>Co-term with parent</t>
        </is>
      </c>
    </row>
    <row r="72">
      <c r="A72" s="39" t="inlineStr">
        <is>
          <t>2024-03-04</t>
        </is>
      </c>
      <c r="B72" s="18" t="inlineStr">
        <is>
          <t>EMEA</t>
        </is>
      </c>
      <c r="C72" s="18" t="inlineStr">
        <is>
          <t>Signal Pro</t>
        </is>
      </c>
      <c r="D72" s="18" t="inlineStr">
        <is>
          <t>Mid-market</t>
        </is>
      </c>
      <c r="E72" s="18" t="inlineStr">
        <is>
          <t>E. Nakamura</t>
        </is>
      </c>
      <c r="F72" s="20" t="n">
        <v>139400</v>
      </c>
      <c r="G72" s="34" t="inlineStr">
        <is>
          <t>Partner-sourced</t>
        </is>
      </c>
    </row>
    <row r="73">
      <c r="A73" s="39" t="inlineStr">
        <is>
          <t>2024-03-11</t>
        </is>
      </c>
      <c r="B73" s="18" t="inlineStr">
        <is>
          <t>AMER East</t>
        </is>
      </c>
      <c r="C73" s="18" t="inlineStr">
        <is>
          <t>Embedded Reports</t>
        </is>
      </c>
      <c r="D73" s="18" t="inlineStr">
        <is>
          <t>SMB</t>
        </is>
      </c>
      <c r="E73" s="18" t="inlineStr">
        <is>
          <t>D. Chatterjee</t>
        </is>
      </c>
      <c r="F73" s="20" t="n">
        <v>68000</v>
      </c>
      <c r="G73" s="34" t="inlineStr">
        <is>
          <t>Standard list price</t>
        </is>
      </c>
    </row>
    <row r="74">
      <c r="A74" s="39" t="inlineStr">
        <is>
          <t>2024-03-18</t>
        </is>
      </c>
      <c r="B74" s="18" t="inlineStr">
        <is>
          <t>AMER West</t>
        </is>
      </c>
      <c r="C74" s="18" t="inlineStr">
        <is>
          <t>Warehouse Connect</t>
        </is>
      </c>
      <c r="D74" s="18" t="inlineStr">
        <is>
          <t>Mid-market</t>
        </is>
      </c>
      <c r="E74" s="18" t="inlineStr">
        <is>
          <t>F. Duarte</t>
        </is>
      </c>
      <c r="F74" s="20" t="n">
        <v>125400</v>
      </c>
      <c r="G74" s="34" t="inlineStr">
        <is>
          <t>Renewal uplift 7%</t>
        </is>
      </c>
    </row>
    <row r="75">
      <c r="A75" s="39" t="inlineStr">
        <is>
          <t>2024-03-25</t>
        </is>
      </c>
      <c r="B75" s="18" t="inlineStr">
        <is>
          <t>LATAM</t>
        </is>
      </c>
      <c r="C75" s="18" t="inlineStr">
        <is>
          <t>Signal Core</t>
        </is>
      </c>
      <c r="D75" s="18" t="inlineStr">
        <is>
          <t>Enterprise</t>
        </is>
      </c>
      <c r="E75" s="18" t="inlineStr">
        <is>
          <t>J. Adeyemi</t>
        </is>
      </c>
      <c r="F75" s="20" t="n">
        <v>47500</v>
      </c>
      <c r="G75" s="34" t="inlineStr">
        <is>
          <t>Competitive displacement</t>
        </is>
      </c>
    </row>
    <row r="76">
      <c r="A76" s="39" t="inlineStr">
        <is>
          <t>2024-03-01</t>
        </is>
      </c>
      <c r="B76" s="18" t="inlineStr">
        <is>
          <t>APAC</t>
        </is>
      </c>
      <c r="C76" s="18" t="inlineStr">
        <is>
          <t>Signal Pro</t>
        </is>
      </c>
      <c r="D76" s="18" t="inlineStr">
        <is>
          <t>SMB</t>
        </is>
      </c>
      <c r="E76" s="18" t="inlineStr">
        <is>
          <t>D. Chatterjee</t>
        </is>
      </c>
      <c r="F76" s="20" t="n">
        <v>155400</v>
      </c>
      <c r="G76" s="34" t="inlineStr">
        <is>
          <t>Multi-year prepay</t>
        </is>
      </c>
    </row>
    <row r="77">
      <c r="A77" s="39" t="inlineStr">
        <is>
          <t>2024-03-08</t>
        </is>
      </c>
      <c r="B77" s="18" t="inlineStr">
        <is>
          <t>LATAM</t>
        </is>
      </c>
      <c r="C77" s="18" t="inlineStr">
        <is>
          <t>Warehouse Connect</t>
        </is>
      </c>
      <c r="D77" s="18" t="inlineStr">
        <is>
          <t>SMB</t>
        </is>
      </c>
      <c r="E77" s="18" t="inlineStr">
        <is>
          <t>D. Chatterjee</t>
        </is>
      </c>
      <c r="F77" s="20" t="n">
        <v>183600</v>
      </c>
      <c r="G77" s="34" t="inlineStr">
        <is>
          <t>Renewal uplift 7%</t>
        </is>
      </c>
    </row>
    <row r="78">
      <c r="A78" s="39" t="inlineStr">
        <is>
          <t>2024-03-15</t>
        </is>
      </c>
      <c r="B78" s="18" t="inlineStr">
        <is>
          <t>AMER West</t>
        </is>
      </c>
      <c r="C78" s="18" t="inlineStr">
        <is>
          <t>Embedded Reports</t>
        </is>
      </c>
      <c r="D78" s="18" t="inlineStr">
        <is>
          <t>SMB</t>
        </is>
      </c>
      <c r="E78" s="18" t="inlineStr">
        <is>
          <t>B. Lindqvist</t>
        </is>
      </c>
      <c r="F78" s="20" t="n">
        <v>132800</v>
      </c>
      <c r="G78" s="34" t="inlineStr">
        <is>
          <t>Partner-sourced</t>
        </is>
      </c>
    </row>
    <row r="79">
      <c r="A79" s="39" t="inlineStr">
        <is>
          <t>2024-03-22</t>
        </is>
      </c>
      <c r="B79" s="18" t="inlineStr">
        <is>
          <t>EMEA</t>
        </is>
      </c>
      <c r="C79" s="18" t="inlineStr">
        <is>
          <t>Signal Core</t>
        </is>
      </c>
      <c r="D79" s="18" t="inlineStr">
        <is>
          <t>SMB</t>
        </is>
      </c>
      <c r="E79" s="18" t="inlineStr">
        <is>
          <t>D. Chatterjee</t>
        </is>
      </c>
      <c r="F79" s="20" t="n">
        <v>14400</v>
      </c>
      <c r="G79" s="34" t="inlineStr">
        <is>
          <t>Standard list price</t>
        </is>
      </c>
    </row>
    <row r="80">
      <c r="A80" s="39" t="inlineStr">
        <is>
          <t>2024-03-29</t>
        </is>
      </c>
      <c r="B80" s="18" t="inlineStr">
        <is>
          <t>AMER West</t>
        </is>
      </c>
      <c r="C80" s="18" t="inlineStr">
        <is>
          <t>Embedded Reports</t>
        </is>
      </c>
      <c r="D80" s="18" t="inlineStr">
        <is>
          <t>Mid-market</t>
        </is>
      </c>
      <c r="E80" s="18" t="inlineStr">
        <is>
          <t>H. Vasquez</t>
        </is>
      </c>
      <c r="F80" s="20" t="n">
        <v>15600</v>
      </c>
      <c r="G80" s="34" t="inlineStr">
        <is>
          <t>Competitive displacement</t>
        </is>
      </c>
    </row>
    <row r="81">
      <c r="A81" s="39" t="inlineStr">
        <is>
          <t>2024-03-05</t>
        </is>
      </c>
      <c r="B81" s="18" t="inlineStr">
        <is>
          <t>EMEA</t>
        </is>
      </c>
      <c r="C81" s="18" t="inlineStr">
        <is>
          <t>Signal Pro</t>
        </is>
      </c>
      <c r="D81" s="18" t="inlineStr">
        <is>
          <t>Enterprise</t>
        </is>
      </c>
      <c r="E81" s="18" t="inlineStr">
        <is>
          <t>B. Lindqvist</t>
        </is>
      </c>
      <c r="F81" s="20" t="n">
        <v>154800</v>
      </c>
      <c r="G81" s="34" t="inlineStr">
        <is>
          <t>Pilot converted</t>
        </is>
      </c>
    </row>
    <row r="82">
      <c r="A82" s="39" t="inlineStr">
        <is>
          <t>2024-03-12</t>
        </is>
      </c>
      <c r="B82" s="18" t="inlineStr">
        <is>
          <t>LATAM</t>
        </is>
      </c>
      <c r="C82" s="18" t="inlineStr">
        <is>
          <t>Alerts add-on</t>
        </is>
      </c>
      <c r="D82" s="18" t="inlineStr">
        <is>
          <t>Enterprise</t>
        </is>
      </c>
      <c r="E82" s="18" t="inlineStr">
        <is>
          <t>K. Sørensen</t>
        </is>
      </c>
      <c r="F82" s="20" t="n">
        <v>8800</v>
      </c>
      <c r="G82" s="34" t="inlineStr">
        <is>
          <t>Ramped deal, year one</t>
        </is>
      </c>
    </row>
    <row r="83">
      <c r="A83" s="39" t="inlineStr">
        <is>
          <t>2024-03-19</t>
        </is>
      </c>
      <c r="B83" s="18" t="inlineStr">
        <is>
          <t>APAC</t>
        </is>
      </c>
      <c r="C83" s="18" t="inlineStr">
        <is>
          <t>Warehouse Connect</t>
        </is>
      </c>
      <c r="D83" s="18" t="inlineStr">
        <is>
          <t>Mid-market</t>
        </is>
      </c>
      <c r="E83" s="18" t="inlineStr">
        <is>
          <t>A. Okafor</t>
        </is>
      </c>
      <c r="F83" s="20" t="n">
        <v>71200</v>
      </c>
      <c r="G83" s="34" t="inlineStr">
        <is>
          <t>Multi-year prepay</t>
        </is>
      </c>
    </row>
    <row r="84">
      <c r="A84" s="39" t="inlineStr">
        <is>
          <t>2024-03-26</t>
        </is>
      </c>
      <c r="B84" s="18" t="inlineStr">
        <is>
          <t>APAC</t>
        </is>
      </c>
      <c r="C84" s="18" t="inlineStr">
        <is>
          <t>Alerts add-on</t>
        </is>
      </c>
      <c r="D84" s="18" t="inlineStr">
        <is>
          <t>Mid-market</t>
        </is>
      </c>
      <c r="E84" s="18" t="inlineStr">
        <is>
          <t>F. Duarte</t>
        </is>
      </c>
      <c r="F84" s="20" t="n">
        <v>46700</v>
      </c>
      <c r="G84" s="34" t="inlineStr">
        <is>
          <t>Co-term with parent</t>
        </is>
      </c>
    </row>
    <row r="85">
      <c r="A85" s="39" t="inlineStr">
        <is>
          <t>2024-03-02</t>
        </is>
      </c>
      <c r="B85" s="18" t="inlineStr">
        <is>
          <t>AMER West</t>
        </is>
      </c>
      <c r="C85" s="18" t="inlineStr">
        <is>
          <t>Alerts add-on</t>
        </is>
      </c>
      <c r="D85" s="18" t="inlineStr">
        <is>
          <t>Enterprise</t>
        </is>
      </c>
      <c r="E85" s="18" t="inlineStr">
        <is>
          <t>F. Duarte</t>
        </is>
      </c>
      <c r="F85" s="20" t="n">
        <v>77100</v>
      </c>
      <c r="G85" s="34" t="inlineStr">
        <is>
          <t>Ramped deal, year one</t>
        </is>
      </c>
    </row>
    <row r="86">
      <c r="A86" s="39" t="inlineStr">
        <is>
          <t>2024-03-09</t>
        </is>
      </c>
      <c r="B86" s="18" t="inlineStr">
        <is>
          <t>AMER East</t>
        </is>
      </c>
      <c r="C86" s="18" t="inlineStr">
        <is>
          <t>Embedded Reports</t>
        </is>
      </c>
      <c r="D86" s="18" t="inlineStr">
        <is>
          <t>Enterprise</t>
        </is>
      </c>
      <c r="E86" s="18" t="inlineStr">
        <is>
          <t>D. Chatterjee</t>
        </is>
      </c>
      <c r="F86" s="20" t="n">
        <v>51400</v>
      </c>
      <c r="G86" s="34" t="inlineStr">
        <is>
          <t>Co-term with parent</t>
        </is>
      </c>
    </row>
    <row r="87">
      <c r="A87" s="39" t="inlineStr">
        <is>
          <t>2024-03-16</t>
        </is>
      </c>
      <c r="B87" s="18" t="inlineStr">
        <is>
          <t>AMER West</t>
        </is>
      </c>
      <c r="C87" s="18" t="inlineStr">
        <is>
          <t>Alerts add-on</t>
        </is>
      </c>
      <c r="D87" s="18" t="inlineStr">
        <is>
          <t>SMB</t>
        </is>
      </c>
      <c r="E87" s="18" t="inlineStr">
        <is>
          <t>D. Chatterjee</t>
        </is>
      </c>
      <c r="F87" s="20" t="n">
        <v>45300</v>
      </c>
      <c r="G87" s="34" t="inlineStr">
        <is>
          <t>Renewal uplift 7%</t>
        </is>
      </c>
    </row>
    <row r="88">
      <c r="A88" s="39" t="inlineStr">
        <is>
          <t>2024-03-23</t>
        </is>
      </c>
      <c r="B88" s="18" t="inlineStr">
        <is>
          <t>APAC</t>
        </is>
      </c>
      <c r="C88" s="18" t="inlineStr">
        <is>
          <t>Embedded Reports</t>
        </is>
      </c>
      <c r="D88" s="18" t="inlineStr">
        <is>
          <t>Enterprise</t>
        </is>
      </c>
      <c r="E88" s="18" t="inlineStr">
        <is>
          <t>F. Duarte</t>
        </is>
      </c>
      <c r="F88" s="20" t="n">
        <v>23800</v>
      </c>
      <c r="G88" s="34" t="inlineStr">
        <is>
          <t>Partner-sourced</t>
        </is>
      </c>
    </row>
    <row r="89">
      <c r="A89" s="39" t="inlineStr">
        <is>
          <t>2024-03-30</t>
        </is>
      </c>
      <c r="B89" s="18" t="inlineStr">
        <is>
          <t>EMEA</t>
        </is>
      </c>
      <c r="C89" s="18" t="inlineStr">
        <is>
          <t>Alerts add-on</t>
        </is>
      </c>
      <c r="D89" s="18" t="inlineStr">
        <is>
          <t>Mid-market</t>
        </is>
      </c>
      <c r="E89" s="18" t="inlineStr">
        <is>
          <t>K. Sørensen</t>
        </is>
      </c>
      <c r="F89" s="20" t="n">
        <v>62800</v>
      </c>
      <c r="G89" s="34" t="inlineStr">
        <is>
          <t>Renewal uplift 7%</t>
        </is>
      </c>
    </row>
    <row r="90">
      <c r="A90" s="39" t="inlineStr">
        <is>
          <t>2024-03-06</t>
        </is>
      </c>
      <c r="B90" s="18" t="inlineStr">
        <is>
          <t>APAC</t>
        </is>
      </c>
      <c r="C90" s="18" t="inlineStr">
        <is>
          <t>Signal Pro</t>
        </is>
      </c>
      <c r="D90" s="18" t="inlineStr">
        <is>
          <t>Enterprise</t>
        </is>
      </c>
      <c r="E90" s="18" t="inlineStr">
        <is>
          <t>F. Duarte</t>
        </is>
      </c>
      <c r="F90" s="20" t="n">
        <v>204600</v>
      </c>
      <c r="G90" s="34" t="inlineStr">
        <is>
          <t>Renewal uplift 7%</t>
        </is>
      </c>
    </row>
    <row r="91">
      <c r="A91" s="39" t="inlineStr">
        <is>
          <t>2024-03-13</t>
        </is>
      </c>
      <c r="B91" s="18" t="inlineStr">
        <is>
          <t>APAC</t>
        </is>
      </c>
      <c r="C91" s="18" t="inlineStr">
        <is>
          <t>Signal Pro</t>
        </is>
      </c>
      <c r="D91" s="18" t="inlineStr">
        <is>
          <t>Enterprise</t>
        </is>
      </c>
      <c r="E91" s="18" t="inlineStr">
        <is>
          <t>A. Okafor</t>
        </is>
      </c>
      <c r="F91" s="20" t="n">
        <v>180900</v>
      </c>
      <c r="G91" s="34" t="inlineStr">
        <is>
          <t>Standard list price</t>
        </is>
      </c>
    </row>
    <row r="92">
      <c r="A92" s="39" t="inlineStr">
        <is>
          <t>2024-03-20</t>
        </is>
      </c>
      <c r="B92" s="18" t="inlineStr">
        <is>
          <t>LATAM</t>
        </is>
      </c>
      <c r="C92" s="18" t="inlineStr">
        <is>
          <t>Embedded Reports</t>
        </is>
      </c>
      <c r="D92" s="18" t="inlineStr">
        <is>
          <t>Enterprise</t>
        </is>
      </c>
      <c r="E92" s="18" t="inlineStr">
        <is>
          <t>J. Adeyemi</t>
        </is>
      </c>
      <c r="F92" s="20" t="n">
        <v>64600</v>
      </c>
      <c r="G92" s="34" t="inlineStr">
        <is>
          <t>Renewal uplift 7%</t>
        </is>
      </c>
    </row>
    <row r="93">
      <c r="A93" s="39" t="inlineStr">
        <is>
          <t>2024-03-27</t>
        </is>
      </c>
      <c r="B93" s="18" t="inlineStr">
        <is>
          <t>EMEA</t>
        </is>
      </c>
      <c r="C93" s="18" t="inlineStr">
        <is>
          <t>Embedded Reports</t>
        </is>
      </c>
      <c r="D93" s="18" t="inlineStr">
        <is>
          <t>SMB</t>
        </is>
      </c>
      <c r="E93" s="18" t="inlineStr">
        <is>
          <t>H. Vasquez</t>
        </is>
      </c>
      <c r="F93" s="20" t="n">
        <v>45400</v>
      </c>
      <c r="G93" s="34" t="inlineStr">
        <is>
          <t>Co-term with parent</t>
        </is>
      </c>
    </row>
    <row r="94">
      <c r="A94" s="39" t="inlineStr">
        <is>
          <t>2024-03-03</t>
        </is>
      </c>
      <c r="B94" s="18" t="inlineStr">
        <is>
          <t>AMER West</t>
        </is>
      </c>
      <c r="C94" s="18" t="inlineStr">
        <is>
          <t>Alerts add-on</t>
        </is>
      </c>
      <c r="D94" s="18" t="inlineStr">
        <is>
          <t>Enterprise</t>
        </is>
      </c>
      <c r="E94" s="18" t="inlineStr">
        <is>
          <t>H. Vasquez</t>
        </is>
      </c>
      <c r="F94" s="20" t="n">
        <v>29500</v>
      </c>
      <c r="G94" s="34" t="inlineStr">
        <is>
          <t>Ramped deal, year one</t>
        </is>
      </c>
    </row>
    <row r="95">
      <c r="A95" s="39" t="inlineStr">
        <is>
          <t>2024-03-10</t>
        </is>
      </c>
      <c r="B95" s="18" t="inlineStr">
        <is>
          <t>APAC</t>
        </is>
      </c>
      <c r="C95" s="18" t="inlineStr">
        <is>
          <t>Embedded Reports</t>
        </is>
      </c>
      <c r="D95" s="18" t="inlineStr">
        <is>
          <t>Mid-market</t>
        </is>
      </c>
      <c r="E95" s="18" t="inlineStr">
        <is>
          <t>C. Marín</t>
        </is>
      </c>
      <c r="F95" s="20" t="n">
        <v>147900</v>
      </c>
      <c r="G95" s="34" t="inlineStr">
        <is>
          <t>Co-term with parent</t>
        </is>
      </c>
    </row>
    <row r="96">
      <c r="A96" s="39" t="inlineStr">
        <is>
          <t>2024-03-17</t>
        </is>
      </c>
      <c r="B96" s="18" t="inlineStr">
        <is>
          <t>LATAM</t>
        </is>
      </c>
      <c r="C96" s="18" t="inlineStr">
        <is>
          <t>Warehouse Connect</t>
        </is>
      </c>
      <c r="D96" s="18" t="inlineStr">
        <is>
          <t>SMB</t>
        </is>
      </c>
      <c r="E96" s="18" t="inlineStr">
        <is>
          <t>D. Chatterjee</t>
        </is>
      </c>
      <c r="F96" s="20" t="n">
        <v>59600</v>
      </c>
      <c r="G96" s="34" t="inlineStr">
        <is>
          <t>Co-term with parent</t>
        </is>
      </c>
    </row>
    <row r="97">
      <c r="A97" s="39" t="inlineStr">
        <is>
          <t>2024-03-24</t>
        </is>
      </c>
      <c r="B97" s="18" t="inlineStr">
        <is>
          <t>LATAM</t>
        </is>
      </c>
      <c r="C97" s="18" t="inlineStr">
        <is>
          <t>Signal Pro</t>
        </is>
      </c>
      <c r="D97" s="18" t="inlineStr">
        <is>
          <t>Mid-market</t>
        </is>
      </c>
      <c r="E97" s="18" t="inlineStr">
        <is>
          <t>C. Marín</t>
        </is>
      </c>
      <c r="F97" s="20" t="n">
        <v>128400</v>
      </c>
      <c r="G97" s="34" t="inlineStr">
        <is>
          <t>Competitive displacement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2024-04-13</t>
        </is>
      </c>
      <c r="B2" s="18" t="inlineStr">
        <is>
          <t>EMEA</t>
        </is>
      </c>
      <c r="C2" s="18" t="inlineStr">
        <is>
          <t>Signal Core</t>
        </is>
      </c>
      <c r="D2" s="18" t="inlineStr">
        <is>
          <t>Mid-market</t>
        </is>
      </c>
      <c r="E2" s="18" t="inlineStr">
        <is>
          <t>A. Okafor</t>
        </is>
      </c>
      <c r="F2" s="20" t="n">
        <v>137600</v>
      </c>
      <c r="G2" s="34" t="inlineStr">
        <is>
          <t>Rebate carried from legacy 10% promo</t>
        </is>
      </c>
    </row>
    <row r="3">
      <c r="A3" s="39" t="inlineStr">
        <is>
          <t>2024-04-20</t>
        </is>
      </c>
      <c r="B3" s="18" t="inlineStr">
        <is>
          <t>APAC</t>
        </is>
      </c>
      <c r="C3" s="18" t="inlineStr">
        <is>
          <t>Signal Core</t>
        </is>
      </c>
      <c r="D3" s="18" t="inlineStr">
        <is>
          <t>SMB</t>
        </is>
      </c>
      <c r="E3" s="18" t="inlineStr">
        <is>
          <t>F. Duarte</t>
        </is>
      </c>
      <c r="F3" s="20" t="n">
        <v>68100</v>
      </c>
      <c r="G3" s="34" t="inlineStr">
        <is>
          <t>Ramped deal, year one</t>
        </is>
      </c>
    </row>
    <row r="4">
      <c r="A4" s="39" t="inlineStr">
        <is>
          <t>2024-04-27</t>
        </is>
      </c>
      <c r="B4" s="18" t="inlineStr">
        <is>
          <t>EMEA</t>
        </is>
      </c>
      <c r="C4" s="18" t="inlineStr">
        <is>
          <t>Embedded Reports</t>
        </is>
      </c>
      <c r="D4" s="18" t="inlineStr">
        <is>
          <t>Mid-market</t>
        </is>
      </c>
      <c r="E4" s="18" t="inlineStr">
        <is>
          <t>J. Adeyemi</t>
        </is>
      </c>
      <c r="F4" s="20" t="n">
        <v>110800</v>
      </c>
      <c r="G4" s="34" t="inlineStr">
        <is>
          <t>Multi-year prepay</t>
        </is>
      </c>
    </row>
    <row r="5">
      <c r="A5" s="39" t="inlineStr">
        <is>
          <t>2024-04-04</t>
        </is>
      </c>
      <c r="B5" s="18" t="inlineStr">
        <is>
          <t>AMER West</t>
        </is>
      </c>
      <c r="C5" s="18" t="inlineStr">
        <is>
          <t>Warehouse Connect</t>
        </is>
      </c>
      <c r="D5" s="18" t="inlineStr">
        <is>
          <t>SMB</t>
        </is>
      </c>
      <c r="E5" s="18" t="inlineStr">
        <is>
          <t>F. Duarte</t>
        </is>
      </c>
      <c r="F5" s="20" t="n">
        <v>34800</v>
      </c>
      <c r="G5" s="34" t="inlineStr">
        <is>
          <t>Ramped deal, year one</t>
        </is>
      </c>
    </row>
    <row r="6">
      <c r="A6" s="39" t="inlineStr">
        <is>
          <t>2024-04-11</t>
        </is>
      </c>
      <c r="B6" s="18" t="inlineStr">
        <is>
          <t>LATAM</t>
        </is>
      </c>
      <c r="C6" s="18" t="inlineStr">
        <is>
          <t>Embedded Reports</t>
        </is>
      </c>
      <c r="D6" s="18" t="inlineStr">
        <is>
          <t>Mid-market</t>
        </is>
      </c>
      <c r="E6" s="18" t="inlineStr">
        <is>
          <t>D. Chatterjee</t>
        </is>
      </c>
      <c r="F6" s="20" t="n">
        <v>102600</v>
      </c>
      <c r="G6" s="34" t="inlineStr">
        <is>
          <t>Ramped deal, year one</t>
        </is>
      </c>
    </row>
    <row r="7">
      <c r="A7" s="39" t="inlineStr">
        <is>
          <t>2024-04-18</t>
        </is>
      </c>
      <c r="B7" s="18" t="inlineStr">
        <is>
          <t>AMER West</t>
        </is>
      </c>
      <c r="C7" s="18" t="inlineStr">
        <is>
          <t>Signal Pro</t>
        </is>
      </c>
      <c r="D7" s="18" t="inlineStr">
        <is>
          <t>Mid-market</t>
        </is>
      </c>
      <c r="E7" s="18" t="inlineStr">
        <is>
          <t>C. Marín</t>
        </is>
      </c>
      <c r="F7" s="20" t="n">
        <v>43300</v>
      </c>
      <c r="G7" s="34" t="inlineStr">
        <is>
          <t>Pilot converted</t>
        </is>
      </c>
    </row>
    <row r="8">
      <c r="A8" s="39" t="inlineStr">
        <is>
          <t>2024-04-25</t>
        </is>
      </c>
      <c r="B8" s="18" t="inlineStr">
        <is>
          <t>APAC</t>
        </is>
      </c>
      <c r="C8" s="18" t="inlineStr">
        <is>
          <t>Signal Pro</t>
        </is>
      </c>
      <c r="D8" s="18" t="inlineStr">
        <is>
          <t>Mid-market</t>
        </is>
      </c>
      <c r="E8" s="18" t="inlineStr">
        <is>
          <t>D. Chatterjee</t>
        </is>
      </c>
      <c r="F8" s="20" t="n">
        <v>33000</v>
      </c>
      <c r="G8" s="34" t="inlineStr">
        <is>
          <t>Multi-year prepay</t>
        </is>
      </c>
    </row>
    <row r="9">
      <c r="A9" s="39" t="inlineStr">
        <is>
          <t>2024-04-02</t>
        </is>
      </c>
      <c r="B9" s="18" t="inlineStr">
        <is>
          <t>APAC</t>
        </is>
      </c>
      <c r="C9" s="18" t="inlineStr">
        <is>
          <t>Warehouse Connect</t>
        </is>
      </c>
      <c r="D9" s="18" t="inlineStr">
        <is>
          <t>SMB</t>
        </is>
      </c>
      <c r="E9" s="18" t="inlineStr">
        <is>
          <t>K. Sørensen</t>
        </is>
      </c>
      <c r="F9" s="20" t="n">
        <v>28400</v>
      </c>
      <c r="G9" s="34" t="inlineStr">
        <is>
          <t>Co-term with parent</t>
        </is>
      </c>
    </row>
    <row r="10">
      <c r="A10" s="39" t="inlineStr">
        <is>
          <t>2024-04-09</t>
        </is>
      </c>
      <c r="B10" s="18" t="inlineStr">
        <is>
          <t>EMEA</t>
        </is>
      </c>
      <c r="C10" s="18" t="inlineStr">
        <is>
          <t>Embedded Reports</t>
        </is>
      </c>
      <c r="D10" s="18" t="inlineStr">
        <is>
          <t>SMB</t>
        </is>
      </c>
      <c r="E10" s="18" t="inlineStr">
        <is>
          <t>D. Chatterjee</t>
        </is>
      </c>
      <c r="F10" s="20" t="n">
        <v>66300</v>
      </c>
      <c r="G10" s="34" t="inlineStr">
        <is>
          <t>Partner-sourced</t>
        </is>
      </c>
    </row>
    <row r="11">
      <c r="A11" s="39" t="inlineStr">
        <is>
          <t>2024-04-16</t>
        </is>
      </c>
      <c r="B11" s="18" t="inlineStr">
        <is>
          <t>AMER East</t>
        </is>
      </c>
      <c r="C11" s="18" t="inlineStr">
        <is>
          <t>Signal Core</t>
        </is>
      </c>
      <c r="D11" s="18" t="inlineStr">
        <is>
          <t>Enterprise</t>
        </is>
      </c>
      <c r="E11" s="18" t="inlineStr">
        <is>
          <t>H. Vasquez</t>
        </is>
      </c>
      <c r="F11" s="20" t="n">
        <v>222000</v>
      </c>
      <c r="G11" s="34" t="inlineStr">
        <is>
          <t>Pilot converted</t>
        </is>
      </c>
    </row>
    <row r="12">
      <c r="A12" s="39" t="inlineStr">
        <is>
          <t>2024-04-23</t>
        </is>
      </c>
      <c r="B12" s="18" t="inlineStr">
        <is>
          <t>LATAM</t>
        </is>
      </c>
      <c r="C12" s="18" t="inlineStr">
        <is>
          <t>Signal Pro</t>
        </is>
      </c>
      <c r="D12" s="18" t="inlineStr">
        <is>
          <t>Mid-market</t>
        </is>
      </c>
      <c r="E12" s="18" t="inlineStr">
        <is>
          <t>F. Duarte</t>
        </is>
      </c>
      <c r="F12" s="20" t="n">
        <v>15700</v>
      </c>
      <c r="G12" s="34" t="inlineStr">
        <is>
          <t>Standard list price</t>
        </is>
      </c>
    </row>
    <row r="13">
      <c r="A13" s="39" t="inlineStr">
        <is>
          <t>2024-04-30</t>
        </is>
      </c>
      <c r="B13" s="18" t="inlineStr">
        <is>
          <t>EMEA</t>
        </is>
      </c>
      <c r="C13" s="18" t="inlineStr">
        <is>
          <t>Signal Pro</t>
        </is>
      </c>
      <c r="D13" s="18" t="inlineStr">
        <is>
          <t>Enterprise</t>
        </is>
      </c>
      <c r="E13" s="18" t="inlineStr">
        <is>
          <t>G. Halloran</t>
        </is>
      </c>
      <c r="F13" s="20" t="n">
        <v>51000</v>
      </c>
      <c r="G13" s="34" t="inlineStr">
        <is>
          <t>Standard list price</t>
        </is>
      </c>
    </row>
    <row r="14">
      <c r="A14" s="39" t="inlineStr">
        <is>
          <t>2024-04-07</t>
        </is>
      </c>
      <c r="B14" s="18" t="inlineStr">
        <is>
          <t>AMER West</t>
        </is>
      </c>
      <c r="C14" s="18" t="inlineStr">
        <is>
          <t>Alerts add-on</t>
        </is>
      </c>
      <c r="D14" s="18" t="inlineStr">
        <is>
          <t>Enterprise</t>
        </is>
      </c>
      <c r="E14" s="18" t="inlineStr">
        <is>
          <t>A. Okafor</t>
        </is>
      </c>
      <c r="F14" s="20" t="n">
        <v>38000</v>
      </c>
      <c r="G14" s="34" t="inlineStr">
        <is>
          <t>Multi-year prepay</t>
        </is>
      </c>
    </row>
    <row r="15">
      <c r="A15" s="39" t="inlineStr">
        <is>
          <t>2024-04-14</t>
        </is>
      </c>
      <c r="B15" s="18" t="inlineStr">
        <is>
          <t>EMEA</t>
        </is>
      </c>
      <c r="C15" s="18" t="inlineStr">
        <is>
          <t>Warehouse Connect</t>
        </is>
      </c>
      <c r="D15" s="18" t="inlineStr">
        <is>
          <t>Mid-market</t>
        </is>
      </c>
      <c r="E15" s="18" t="inlineStr">
        <is>
          <t>E. Nakamura</t>
        </is>
      </c>
      <c r="F15" s="20" t="n">
        <v>85200</v>
      </c>
      <c r="G15" s="34" t="inlineStr">
        <is>
          <t>Competitive displacement</t>
        </is>
      </c>
    </row>
    <row r="16">
      <c r="A16" s="39" t="inlineStr">
        <is>
          <t>2024-04-21</t>
        </is>
      </c>
      <c r="B16" s="18" t="inlineStr">
        <is>
          <t>APAC</t>
        </is>
      </c>
      <c r="C16" s="18" t="inlineStr">
        <is>
          <t>Embedded Reports</t>
        </is>
      </c>
      <c r="D16" s="18" t="inlineStr">
        <is>
          <t>SMB</t>
        </is>
      </c>
      <c r="E16" s="18" t="inlineStr">
        <is>
          <t>G. Halloran</t>
        </is>
      </c>
      <c r="F16" s="20" t="n">
        <v>24000</v>
      </c>
      <c r="G16" s="34" t="inlineStr">
        <is>
          <t>Multi-year prepay</t>
        </is>
      </c>
    </row>
    <row r="17">
      <c r="A17" s="39" t="inlineStr">
        <is>
          <t>2024-04-28</t>
        </is>
      </c>
      <c r="B17" s="18" t="inlineStr">
        <is>
          <t>AMER East</t>
        </is>
      </c>
      <c r="C17" s="18" t="inlineStr">
        <is>
          <t>Warehouse Connect</t>
        </is>
      </c>
      <c r="D17" s="18" t="inlineStr">
        <is>
          <t>Mid-market</t>
        </is>
      </c>
      <c r="E17" s="18" t="inlineStr">
        <is>
          <t>B. Lindqvist</t>
        </is>
      </c>
      <c r="F17" s="20" t="n">
        <v>117600</v>
      </c>
      <c r="G17" s="34" t="inlineStr">
        <is>
          <t>Partner-sourced</t>
        </is>
      </c>
    </row>
    <row r="18">
      <c r="A18" s="39" t="inlineStr">
        <is>
          <t>2024-04-05</t>
        </is>
      </c>
      <c r="B18" s="18" t="inlineStr">
        <is>
          <t>AMER West</t>
        </is>
      </c>
      <c r="C18" s="18" t="inlineStr">
        <is>
          <t>Signal Pro</t>
        </is>
      </c>
      <c r="D18" s="18" t="inlineStr">
        <is>
          <t>SMB</t>
        </is>
      </c>
      <c r="E18" s="18" t="inlineStr">
        <is>
          <t>J. Adeyemi</t>
        </is>
      </c>
      <c r="F18" s="20" t="n">
        <v>41400</v>
      </c>
      <c r="G18" s="34" t="inlineStr">
        <is>
          <t>Pilot converted</t>
        </is>
      </c>
    </row>
    <row r="19">
      <c r="A19" s="39" t="inlineStr">
        <is>
          <t>2024-04-12</t>
        </is>
      </c>
      <c r="B19" s="18" t="inlineStr">
        <is>
          <t>EMEA</t>
        </is>
      </c>
      <c r="C19" s="18" t="inlineStr">
        <is>
          <t>Signal Core</t>
        </is>
      </c>
      <c r="D19" s="18" t="inlineStr">
        <is>
          <t>Enterprise</t>
        </is>
      </c>
      <c r="E19" s="18" t="inlineStr">
        <is>
          <t>E. Nakamura</t>
        </is>
      </c>
      <c r="F19" s="20" t="n">
        <v>40000</v>
      </c>
      <c r="G19" s="34" t="inlineStr">
        <is>
          <t>Co-term with parent</t>
        </is>
      </c>
    </row>
    <row r="20">
      <c r="A20" s="39" t="inlineStr">
        <is>
          <t>2024-04-19</t>
        </is>
      </c>
      <c r="B20" s="18" t="inlineStr">
        <is>
          <t>APAC</t>
        </is>
      </c>
      <c r="C20" s="18" t="inlineStr">
        <is>
          <t>Embedded Reports</t>
        </is>
      </c>
      <c r="D20" s="18" t="inlineStr">
        <is>
          <t>Mid-market</t>
        </is>
      </c>
      <c r="E20" s="18" t="inlineStr">
        <is>
          <t>B. Lindqvist</t>
        </is>
      </c>
      <c r="F20" s="20" t="n">
        <v>34500</v>
      </c>
      <c r="G20" s="34" t="inlineStr">
        <is>
          <t>Co-term with parent</t>
        </is>
      </c>
    </row>
    <row r="21">
      <c r="A21" s="39" t="inlineStr">
        <is>
          <t>2024-04-26</t>
        </is>
      </c>
      <c r="B21" s="18" t="inlineStr">
        <is>
          <t>AMER West</t>
        </is>
      </c>
      <c r="C21" s="18" t="inlineStr">
        <is>
          <t>Signal Core</t>
        </is>
      </c>
      <c r="D21" s="18" t="inlineStr">
        <is>
          <t>SMB</t>
        </is>
      </c>
      <c r="E21" s="18" t="inlineStr">
        <is>
          <t>A. Okafor</t>
        </is>
      </c>
      <c r="F21" s="20" t="n">
        <v>66900</v>
      </c>
      <c r="G21" s="34" t="inlineStr">
        <is>
          <t>Competitive displacement</t>
        </is>
      </c>
    </row>
    <row r="22">
      <c r="A22" s="39" t="inlineStr">
        <is>
          <t>2024-04-03</t>
        </is>
      </c>
      <c r="B22" s="18" t="inlineStr">
        <is>
          <t>AMER East</t>
        </is>
      </c>
      <c r="C22" s="18" t="inlineStr">
        <is>
          <t>Embedded Reports</t>
        </is>
      </c>
      <c r="D22" s="18" t="inlineStr">
        <is>
          <t>Enterprise</t>
        </is>
      </c>
      <c r="E22" s="18" t="inlineStr">
        <is>
          <t>A. Okafor</t>
        </is>
      </c>
      <c r="F22" s="20" t="n">
        <v>68400</v>
      </c>
      <c r="G22" s="34" t="inlineStr">
        <is>
          <t>Renewal uplift 7%</t>
        </is>
      </c>
    </row>
    <row r="23">
      <c r="A23" s="39" t="inlineStr">
        <is>
          <t>2024-04-10</t>
        </is>
      </c>
      <c r="B23" s="18" t="inlineStr">
        <is>
          <t>EMEA</t>
        </is>
      </c>
      <c r="C23" s="18" t="inlineStr">
        <is>
          <t>Alerts add-on</t>
        </is>
      </c>
      <c r="D23" s="18" t="inlineStr">
        <is>
          <t>Mid-market</t>
        </is>
      </c>
      <c r="E23" s="18" t="inlineStr">
        <is>
          <t>B. Lindqvist</t>
        </is>
      </c>
      <c r="F23" s="20" t="n">
        <v>14400</v>
      </c>
      <c r="G23" s="34" t="inlineStr">
        <is>
          <t>Renewal uplift 7%</t>
        </is>
      </c>
    </row>
    <row r="24">
      <c r="A24" s="39" t="inlineStr">
        <is>
          <t>2024-04-17</t>
        </is>
      </c>
      <c r="B24" s="18" t="inlineStr">
        <is>
          <t>AMER East</t>
        </is>
      </c>
      <c r="C24" s="18" t="inlineStr">
        <is>
          <t>Signal Core</t>
        </is>
      </c>
      <c r="D24" s="18" t="inlineStr">
        <is>
          <t>SMB</t>
        </is>
      </c>
      <c r="E24" s="18" t="inlineStr">
        <is>
          <t>E. Nakamura</t>
        </is>
      </c>
      <c r="F24" s="20" t="n">
        <v>53000</v>
      </c>
      <c r="G24" s="34" t="inlineStr">
        <is>
          <t>Multi-year prepay</t>
        </is>
      </c>
    </row>
    <row r="25">
      <c r="A25" s="39" t="inlineStr">
        <is>
          <t>2024-04-24</t>
        </is>
      </c>
      <c r="B25" s="18" t="inlineStr">
        <is>
          <t>AMER West</t>
        </is>
      </c>
      <c r="C25" s="18" t="inlineStr">
        <is>
          <t>Warehouse Connect</t>
        </is>
      </c>
      <c r="D25" s="18" t="inlineStr">
        <is>
          <t>Enterprise</t>
        </is>
      </c>
      <c r="E25" s="18" t="inlineStr">
        <is>
          <t>B. Lindqvist</t>
        </is>
      </c>
      <c r="F25" s="20" t="n">
        <v>24500</v>
      </c>
      <c r="G25" s="34" t="inlineStr">
        <is>
          <t>Renewal uplift 7%</t>
        </is>
      </c>
    </row>
    <row r="26">
      <c r="A26" s="39" t="inlineStr">
        <is>
          <t>2024-04-01</t>
        </is>
      </c>
      <c r="B26" s="18" t="inlineStr">
        <is>
          <t>EMEA</t>
        </is>
      </c>
      <c r="C26" s="18" t="inlineStr">
        <is>
          <t>Signal Core</t>
        </is>
      </c>
      <c r="D26" s="18" t="inlineStr">
        <is>
          <t>Enterprise</t>
        </is>
      </c>
      <c r="E26" s="18" t="inlineStr">
        <is>
          <t>C. Marín</t>
        </is>
      </c>
      <c r="F26" s="20" t="n">
        <v>46400</v>
      </c>
      <c r="G26" s="34" t="inlineStr">
        <is>
          <t>Renewal uplift 7%</t>
        </is>
      </c>
    </row>
    <row r="27">
      <c r="A27" s="39" t="inlineStr">
        <is>
          <t>2024-04-08</t>
        </is>
      </c>
      <c r="B27" s="18" t="inlineStr">
        <is>
          <t>AMER East</t>
        </is>
      </c>
      <c r="C27" s="18" t="inlineStr">
        <is>
          <t>Embedded Reports</t>
        </is>
      </c>
      <c r="D27" s="18" t="inlineStr">
        <is>
          <t>Enterprise</t>
        </is>
      </c>
      <c r="E27" s="18" t="inlineStr">
        <is>
          <t>A. Okafor</t>
        </is>
      </c>
      <c r="F27" s="20" t="n">
        <v>20000</v>
      </c>
      <c r="G27" s="34" t="inlineStr">
        <is>
          <t>Renewal uplift 7%</t>
        </is>
      </c>
    </row>
    <row r="28">
      <c r="A28" s="39" t="inlineStr">
        <is>
          <t>2024-04-15</t>
        </is>
      </c>
      <c r="B28" s="18" t="inlineStr">
        <is>
          <t>AMER West</t>
        </is>
      </c>
      <c r="C28" s="18" t="inlineStr">
        <is>
          <t>Signal Core</t>
        </is>
      </c>
      <c r="D28" s="18" t="inlineStr">
        <is>
          <t>Enterprise</t>
        </is>
      </c>
      <c r="E28" s="18" t="inlineStr">
        <is>
          <t>G. Halloran</t>
        </is>
      </c>
      <c r="F28" s="20" t="n">
        <v>133800</v>
      </c>
      <c r="G28" s="34" t="inlineStr">
        <is>
          <t>Multi-year prepay</t>
        </is>
      </c>
    </row>
    <row r="29">
      <c r="A29" s="39" t="inlineStr">
        <is>
          <t>2024-04-22</t>
        </is>
      </c>
      <c r="B29" s="18" t="inlineStr">
        <is>
          <t>APAC</t>
        </is>
      </c>
      <c r="C29" s="18" t="inlineStr">
        <is>
          <t>Signal Pro</t>
        </is>
      </c>
      <c r="D29" s="18" t="inlineStr">
        <is>
          <t>Mid-market</t>
        </is>
      </c>
      <c r="E29" s="18" t="inlineStr">
        <is>
          <t>H. Vasquez</t>
        </is>
      </c>
      <c r="F29" s="20" t="n">
        <v>9800</v>
      </c>
      <c r="G29" s="34" t="inlineStr">
        <is>
          <t>Co-term with parent</t>
        </is>
      </c>
    </row>
    <row r="30">
      <c r="A30" s="39" t="inlineStr">
        <is>
          <t>2024-04-29</t>
        </is>
      </c>
      <c r="B30" s="18" t="inlineStr">
        <is>
          <t>EMEA</t>
        </is>
      </c>
      <c r="C30" s="18" t="inlineStr">
        <is>
          <t>Signal Core</t>
        </is>
      </c>
      <c r="D30" s="18" t="inlineStr">
        <is>
          <t>Mid-market</t>
        </is>
      </c>
      <c r="E30" s="18" t="inlineStr">
        <is>
          <t>B. Lindqvist</t>
        </is>
      </c>
      <c r="F30" s="20" t="n">
        <v>50400</v>
      </c>
      <c r="G30" s="34" t="inlineStr">
        <is>
          <t>Multi-year prepay</t>
        </is>
      </c>
    </row>
    <row r="31">
      <c r="A31" s="39" t="inlineStr">
        <is>
          <t>2024-04-06</t>
        </is>
      </c>
      <c r="B31" s="18" t="inlineStr">
        <is>
          <t>LATAM</t>
        </is>
      </c>
      <c r="C31" s="18" t="inlineStr">
        <is>
          <t>Embedded Reports</t>
        </is>
      </c>
      <c r="D31" s="18" t="inlineStr">
        <is>
          <t>Mid-market</t>
        </is>
      </c>
      <c r="E31" s="18" t="inlineStr">
        <is>
          <t>E. Nakamura</t>
        </is>
      </c>
      <c r="F31" s="20" t="n">
        <v>108000</v>
      </c>
      <c r="G31" s="34" t="inlineStr">
        <is>
          <t>Ramped deal, year one</t>
        </is>
      </c>
    </row>
    <row r="32">
      <c r="A32" s="39" t="inlineStr">
        <is>
          <t>2024-04-13</t>
        </is>
      </c>
      <c r="B32" s="18" t="inlineStr">
        <is>
          <t>EMEA</t>
        </is>
      </c>
      <c r="C32" s="18" t="inlineStr">
        <is>
          <t>Signal Core</t>
        </is>
      </c>
      <c r="D32" s="18" t="inlineStr">
        <is>
          <t>Mid-market</t>
        </is>
      </c>
      <c r="E32" s="18" t="inlineStr">
        <is>
          <t>E. Nakamura</t>
        </is>
      </c>
      <c r="F32" s="20" t="n">
        <v>6600</v>
      </c>
      <c r="G32" s="34" t="inlineStr">
        <is>
          <t>Multi-year prepay</t>
        </is>
      </c>
    </row>
    <row r="33">
      <c r="A33" s="39" t="inlineStr">
        <is>
          <t>2024-04-20</t>
        </is>
      </c>
      <c r="B33" s="18" t="inlineStr">
        <is>
          <t>AMER West</t>
        </is>
      </c>
      <c r="C33" s="18" t="inlineStr">
        <is>
          <t>Signal Core</t>
        </is>
      </c>
      <c r="D33" s="18" t="inlineStr">
        <is>
          <t>SMB</t>
        </is>
      </c>
      <c r="E33" s="18" t="inlineStr">
        <is>
          <t>G. Halloran</t>
        </is>
      </c>
      <c r="F33" s="20" t="n">
        <v>15400</v>
      </c>
      <c r="G33" s="34" t="inlineStr">
        <is>
          <t>Partner-sourced</t>
        </is>
      </c>
    </row>
    <row r="34">
      <c r="A34" s="39" t="inlineStr">
        <is>
          <t>2024-04-27</t>
        </is>
      </c>
      <c r="B34" s="18" t="inlineStr">
        <is>
          <t>APAC</t>
        </is>
      </c>
      <c r="C34" s="18" t="inlineStr">
        <is>
          <t>Alerts add-on</t>
        </is>
      </c>
      <c r="D34" s="18" t="inlineStr">
        <is>
          <t>Enterprise</t>
        </is>
      </c>
      <c r="E34" s="18" t="inlineStr">
        <is>
          <t>B. Lindqvist</t>
        </is>
      </c>
      <c r="F34" s="20" t="n">
        <v>20000</v>
      </c>
      <c r="G34" s="34" t="inlineStr">
        <is>
          <t>Co-term with parent</t>
        </is>
      </c>
    </row>
    <row r="35">
      <c r="A35" s="39" t="inlineStr">
        <is>
          <t>2024-04-04</t>
        </is>
      </c>
      <c r="B35" s="18" t="inlineStr">
        <is>
          <t>AMER West</t>
        </is>
      </c>
      <c r="C35" s="18" t="inlineStr">
        <is>
          <t>Signal Pro</t>
        </is>
      </c>
      <c r="D35" s="18" t="inlineStr">
        <is>
          <t>SMB</t>
        </is>
      </c>
      <c r="E35" s="18" t="inlineStr">
        <is>
          <t>B. Lindqvist</t>
        </is>
      </c>
      <c r="F35" s="20" t="n">
        <v>50800</v>
      </c>
      <c r="G35" s="34" t="inlineStr">
        <is>
          <t>Co-term with parent</t>
        </is>
      </c>
    </row>
    <row r="36">
      <c r="A36" s="39" t="inlineStr">
        <is>
          <t>2024-04-11</t>
        </is>
      </c>
      <c r="B36" s="18" t="inlineStr">
        <is>
          <t>AMER West</t>
        </is>
      </c>
      <c r="C36" s="18" t="inlineStr">
        <is>
          <t>Embedded Reports</t>
        </is>
      </c>
      <c r="D36" s="18" t="inlineStr">
        <is>
          <t>Mid-market</t>
        </is>
      </c>
      <c r="E36" s="18" t="inlineStr">
        <is>
          <t>C. Marín</t>
        </is>
      </c>
      <c r="F36" s="20" t="n">
        <v>39300</v>
      </c>
      <c r="G36" s="34" t="inlineStr">
        <is>
          <t>Pilot converted</t>
        </is>
      </c>
    </row>
    <row r="37">
      <c r="A37" s="39" t="inlineStr">
        <is>
          <t>2024-04-18</t>
        </is>
      </c>
      <c r="B37" s="18" t="inlineStr">
        <is>
          <t>AMER East</t>
        </is>
      </c>
      <c r="C37" s="18" t="inlineStr">
        <is>
          <t>Signal Core</t>
        </is>
      </c>
      <c r="D37" s="18" t="inlineStr">
        <is>
          <t>SMB</t>
        </is>
      </c>
      <c r="E37" s="18" t="inlineStr">
        <is>
          <t>A. Okafor</t>
        </is>
      </c>
      <c r="F37" s="20" t="n">
        <v>43500</v>
      </c>
      <c r="G37" s="34" t="inlineStr">
        <is>
          <t>Partner-sourced</t>
        </is>
      </c>
    </row>
    <row r="38">
      <c r="A38" s="39" t="inlineStr">
        <is>
          <t>2024-04-25</t>
        </is>
      </c>
      <c r="B38" s="18" t="inlineStr">
        <is>
          <t>LATAM</t>
        </is>
      </c>
      <c r="C38" s="18" t="inlineStr">
        <is>
          <t>Signal Pro</t>
        </is>
      </c>
      <c r="D38" s="18" t="inlineStr">
        <is>
          <t>Enterprise</t>
        </is>
      </c>
      <c r="E38" s="18" t="inlineStr">
        <is>
          <t>A. Okafor</t>
        </is>
      </c>
      <c r="F38" s="20" t="n">
        <v>28000</v>
      </c>
      <c r="G38" s="34" t="inlineStr">
        <is>
          <t>Partner-sourced</t>
        </is>
      </c>
    </row>
    <row r="39">
      <c r="A39" s="39" t="inlineStr">
        <is>
          <t>2024-04-02</t>
        </is>
      </c>
      <c r="B39" s="18" t="inlineStr">
        <is>
          <t>LATAM</t>
        </is>
      </c>
      <c r="C39" s="18" t="inlineStr">
        <is>
          <t>Warehouse Connect</t>
        </is>
      </c>
      <c r="D39" s="18" t="inlineStr">
        <is>
          <t>SMB</t>
        </is>
      </c>
      <c r="E39" s="18" t="inlineStr">
        <is>
          <t>A. Okafor</t>
        </is>
      </c>
      <c r="F39" s="20" t="n">
        <v>33000</v>
      </c>
      <c r="G39" s="34" t="inlineStr">
        <is>
          <t>Renewal uplift 7%</t>
        </is>
      </c>
    </row>
    <row r="40">
      <c r="A40" s="39" t="inlineStr">
        <is>
          <t>2024-04-09</t>
        </is>
      </c>
      <c r="B40" s="18" t="inlineStr">
        <is>
          <t>AMER East</t>
        </is>
      </c>
      <c r="C40" s="18" t="inlineStr">
        <is>
          <t>Warehouse Connect</t>
        </is>
      </c>
      <c r="D40" s="18" t="inlineStr">
        <is>
          <t>SMB</t>
        </is>
      </c>
      <c r="E40" s="18" t="inlineStr">
        <is>
          <t>C. Marín</t>
        </is>
      </c>
      <c r="F40" s="20" t="n">
        <v>78000</v>
      </c>
      <c r="G40" s="34" t="inlineStr">
        <is>
          <t>Standard list price</t>
        </is>
      </c>
    </row>
    <row r="41">
      <c r="A41" s="39" t="inlineStr">
        <is>
          <t>2024-04-16</t>
        </is>
      </c>
      <c r="B41" s="18" t="inlineStr">
        <is>
          <t>LATAM</t>
        </is>
      </c>
      <c r="C41" s="18" t="inlineStr">
        <is>
          <t>Embedded Reports</t>
        </is>
      </c>
      <c r="D41" s="18" t="inlineStr">
        <is>
          <t>Enterprise</t>
        </is>
      </c>
      <c r="E41" s="18" t="inlineStr">
        <is>
          <t>D. Chatterjee</t>
        </is>
      </c>
      <c r="F41" s="20" t="n">
        <v>59900</v>
      </c>
      <c r="G41" s="34" t="inlineStr">
        <is>
          <t>Co-term with parent</t>
        </is>
      </c>
    </row>
    <row r="42">
      <c r="A42" s="39" t="inlineStr">
        <is>
          <t>2024-04-23</t>
        </is>
      </c>
      <c r="B42" s="18" t="inlineStr">
        <is>
          <t>AMER East</t>
        </is>
      </c>
      <c r="C42" s="18" t="inlineStr">
        <is>
          <t>Embedded Reports</t>
        </is>
      </c>
      <c r="D42" s="18" t="inlineStr">
        <is>
          <t>SMB</t>
        </is>
      </c>
      <c r="E42" s="18" t="inlineStr">
        <is>
          <t>K. Sørensen</t>
        </is>
      </c>
      <c r="F42" s="20" t="n">
        <v>203400</v>
      </c>
      <c r="G42" s="34" t="inlineStr">
        <is>
          <t>Pilot converted</t>
        </is>
      </c>
    </row>
    <row r="43">
      <c r="A43" s="39" t="inlineStr">
        <is>
          <t>2024-04-30</t>
        </is>
      </c>
      <c r="B43" s="18" t="inlineStr">
        <is>
          <t>LATAM</t>
        </is>
      </c>
      <c r="C43" s="18" t="inlineStr">
        <is>
          <t>Alerts add-on</t>
        </is>
      </c>
      <c r="D43" s="18" t="inlineStr">
        <is>
          <t>Mid-market</t>
        </is>
      </c>
      <c r="E43" s="18" t="inlineStr">
        <is>
          <t>A. Okafor</t>
        </is>
      </c>
      <c r="F43" s="20" t="n">
        <v>53700</v>
      </c>
      <c r="G43" s="34" t="inlineStr">
        <is>
          <t>Ramped deal, year one</t>
        </is>
      </c>
    </row>
    <row r="44">
      <c r="A44" s="39" t="inlineStr">
        <is>
          <t>2024-04-07</t>
        </is>
      </c>
      <c r="B44" s="18" t="inlineStr">
        <is>
          <t>APAC</t>
        </is>
      </c>
      <c r="C44" s="18" t="inlineStr">
        <is>
          <t>Embedded Reports</t>
        </is>
      </c>
      <c r="D44" s="18" t="inlineStr">
        <is>
          <t>SMB</t>
        </is>
      </c>
      <c r="E44" s="18" t="inlineStr">
        <is>
          <t>J. Adeyemi</t>
        </is>
      </c>
      <c r="F44" s="20" t="n">
        <v>203100</v>
      </c>
      <c r="G44" s="34" t="inlineStr">
        <is>
          <t>Pilot converted</t>
        </is>
      </c>
    </row>
    <row r="45">
      <c r="A45" s="39" t="inlineStr">
        <is>
          <t>2024-04-14</t>
        </is>
      </c>
      <c r="B45" s="18" t="inlineStr">
        <is>
          <t>APAC</t>
        </is>
      </c>
      <c r="C45" s="18" t="inlineStr">
        <is>
          <t>Signal Core</t>
        </is>
      </c>
      <c r="D45" s="18" t="inlineStr">
        <is>
          <t>SMB</t>
        </is>
      </c>
      <c r="E45" s="18" t="inlineStr">
        <is>
          <t>H. Vasquez</t>
        </is>
      </c>
      <c r="F45" s="20" t="n">
        <v>30600</v>
      </c>
      <c r="G45" s="34" t="inlineStr">
        <is>
          <t>Partner-sourced</t>
        </is>
      </c>
    </row>
    <row r="46">
      <c r="A46" s="39" t="inlineStr">
        <is>
          <t>2024-04-21</t>
        </is>
      </c>
      <c r="B46" s="18" t="inlineStr">
        <is>
          <t>LATAM</t>
        </is>
      </c>
      <c r="C46" s="18" t="inlineStr">
        <is>
          <t>Warehouse Connect</t>
        </is>
      </c>
      <c r="D46" s="18" t="inlineStr">
        <is>
          <t>Enterprise</t>
        </is>
      </c>
      <c r="E46" s="18" t="inlineStr">
        <is>
          <t>F. Duarte</t>
        </is>
      </c>
      <c r="F46" s="20" t="n">
        <v>92000</v>
      </c>
      <c r="G46" s="34" t="inlineStr">
        <is>
          <t>Partner-sourced</t>
        </is>
      </c>
    </row>
    <row r="47">
      <c r="A47" s="39" t="inlineStr">
        <is>
          <t>2024-04-28</t>
        </is>
      </c>
      <c r="B47" s="18" t="inlineStr">
        <is>
          <t>EMEA</t>
        </is>
      </c>
      <c r="C47" s="18" t="inlineStr">
        <is>
          <t>Signal Core</t>
        </is>
      </c>
      <c r="D47" s="18" t="inlineStr">
        <is>
          <t>SMB</t>
        </is>
      </c>
      <c r="E47" s="18" t="inlineStr">
        <is>
          <t>A. Okafor</t>
        </is>
      </c>
      <c r="F47" s="20" t="n">
        <v>80000</v>
      </c>
      <c r="G47" s="34" t="inlineStr">
        <is>
          <t>Partner-sourced</t>
        </is>
      </c>
    </row>
    <row r="48">
      <c r="A48" s="39" t="inlineStr">
        <is>
          <t>2024-04-05</t>
        </is>
      </c>
      <c r="B48" s="18" t="inlineStr">
        <is>
          <t>LATAM</t>
        </is>
      </c>
      <c r="C48" s="18" t="inlineStr">
        <is>
          <t>Alerts add-on</t>
        </is>
      </c>
      <c r="D48" s="18" t="inlineStr">
        <is>
          <t>SMB</t>
        </is>
      </c>
      <c r="E48" s="18" t="inlineStr">
        <is>
          <t>F. Duarte</t>
        </is>
      </c>
      <c r="F48" s="20" t="n">
        <v>8000</v>
      </c>
      <c r="G48" s="34" t="inlineStr">
        <is>
          <t>Multi-year prepay</t>
        </is>
      </c>
    </row>
    <row r="49">
      <c r="A49" s="39" t="inlineStr">
        <is>
          <t>2024-04-12</t>
        </is>
      </c>
      <c r="B49" s="18" t="inlineStr">
        <is>
          <t>EMEA</t>
        </is>
      </c>
      <c r="C49" s="18" t="inlineStr">
        <is>
          <t>Embedded Reports</t>
        </is>
      </c>
      <c r="D49" s="18" t="inlineStr">
        <is>
          <t>Enterprise</t>
        </is>
      </c>
      <c r="E49" s="18" t="inlineStr">
        <is>
          <t>E. Nakamura</t>
        </is>
      </c>
      <c r="F49" s="20" t="n">
        <v>66200</v>
      </c>
      <c r="G49" s="34" t="inlineStr">
        <is>
          <t>Co-term with parent</t>
        </is>
      </c>
    </row>
    <row r="50">
      <c r="A50" s="39" t="inlineStr">
        <is>
          <t>2024-04-19</t>
        </is>
      </c>
      <c r="B50" s="18" t="inlineStr">
        <is>
          <t>APAC</t>
        </is>
      </c>
      <c r="C50" s="18" t="inlineStr">
        <is>
          <t>Signal Pro</t>
        </is>
      </c>
      <c r="D50" s="18" t="inlineStr">
        <is>
          <t>Mid-market</t>
        </is>
      </c>
      <c r="E50" s="18" t="inlineStr">
        <is>
          <t>H. Vasquez</t>
        </is>
      </c>
      <c r="F50" s="20" t="n">
        <v>24000</v>
      </c>
      <c r="G50" s="34" t="inlineStr">
        <is>
          <t>Co-term with parent</t>
        </is>
      </c>
    </row>
    <row r="51">
      <c r="A51" s="39" t="inlineStr">
        <is>
          <t>2024-04-26</t>
        </is>
      </c>
      <c r="B51" s="18" t="inlineStr">
        <is>
          <t>AMER West</t>
        </is>
      </c>
      <c r="C51" s="18" t="inlineStr">
        <is>
          <t>Embedded Reports</t>
        </is>
      </c>
      <c r="D51" s="18" t="inlineStr">
        <is>
          <t>Mid-market</t>
        </is>
      </c>
      <c r="E51" s="18" t="inlineStr">
        <is>
          <t>C. Marín</t>
        </is>
      </c>
      <c r="F51" s="20" t="n">
        <v>57000</v>
      </c>
      <c r="G51" s="34" t="inlineStr">
        <is>
          <t>Renewal uplift 7%</t>
        </is>
      </c>
    </row>
    <row r="52">
      <c r="A52" s="39" t="inlineStr">
        <is>
          <t>2024-04-03</t>
        </is>
      </c>
      <c r="B52" s="18" t="inlineStr">
        <is>
          <t>AMER East</t>
        </is>
      </c>
      <c r="C52" s="18" t="inlineStr">
        <is>
          <t>Warehouse Connect</t>
        </is>
      </c>
      <c r="D52" s="18" t="inlineStr">
        <is>
          <t>SMB</t>
        </is>
      </c>
      <c r="E52" s="18" t="inlineStr">
        <is>
          <t>C. Marín</t>
        </is>
      </c>
      <c r="F52" s="20" t="n">
        <v>71600</v>
      </c>
      <c r="G52" s="34" t="inlineStr">
        <is>
          <t>Standard list price</t>
        </is>
      </c>
    </row>
    <row r="53">
      <c r="A53" s="39" t="inlineStr">
        <is>
          <t>2024-04-10</t>
        </is>
      </c>
      <c r="B53" s="18" t="inlineStr">
        <is>
          <t>EMEA</t>
        </is>
      </c>
      <c r="C53" s="18" t="inlineStr">
        <is>
          <t>Signal Core</t>
        </is>
      </c>
      <c r="D53" s="18" t="inlineStr">
        <is>
          <t>Enterprise</t>
        </is>
      </c>
      <c r="E53" s="18" t="inlineStr">
        <is>
          <t>D. Chatterjee</t>
        </is>
      </c>
      <c r="F53" s="20" t="n">
        <v>86000</v>
      </c>
      <c r="G53" s="34" t="inlineStr">
        <is>
          <t>Partner-sourced</t>
        </is>
      </c>
    </row>
    <row r="54">
      <c r="A54" s="39" t="inlineStr">
        <is>
          <t>2024-04-17</t>
        </is>
      </c>
      <c r="B54" s="18" t="inlineStr">
        <is>
          <t>AMER East</t>
        </is>
      </c>
      <c r="C54" s="18" t="inlineStr">
        <is>
          <t>Signal Pro</t>
        </is>
      </c>
      <c r="D54" s="18" t="inlineStr">
        <is>
          <t>Enterprise</t>
        </is>
      </c>
      <c r="E54" s="18" t="inlineStr">
        <is>
          <t>D. Chatterjee</t>
        </is>
      </c>
      <c r="F54" s="20" t="n">
        <v>225900</v>
      </c>
      <c r="G54" s="34" t="inlineStr">
        <is>
          <t>Partner-sourced</t>
        </is>
      </c>
    </row>
    <row r="55">
      <c r="A55" s="39" t="inlineStr">
        <is>
          <t>2024-04-24</t>
        </is>
      </c>
      <c r="B55" s="18" t="inlineStr">
        <is>
          <t>LATAM</t>
        </is>
      </c>
      <c r="C55" s="18" t="inlineStr">
        <is>
          <t>Alerts add-on</t>
        </is>
      </c>
      <c r="D55" s="18" t="inlineStr">
        <is>
          <t>SMB</t>
        </is>
      </c>
      <c r="E55" s="18" t="inlineStr">
        <is>
          <t>E. Nakamura</t>
        </is>
      </c>
      <c r="F55" s="20" t="n">
        <v>43500</v>
      </c>
      <c r="G55" s="34" t="inlineStr">
        <is>
          <t>Standard list price</t>
        </is>
      </c>
    </row>
    <row r="56">
      <c r="A56" s="39" t="inlineStr">
        <is>
          <t>2024-04-01</t>
        </is>
      </c>
      <c r="B56" s="18" t="inlineStr">
        <is>
          <t>AMER West</t>
        </is>
      </c>
      <c r="C56" s="18" t="inlineStr">
        <is>
          <t>Warehouse Connect</t>
        </is>
      </c>
      <c r="D56" s="18" t="inlineStr">
        <is>
          <t>Enterprise</t>
        </is>
      </c>
      <c r="E56" s="18" t="inlineStr">
        <is>
          <t>K. Sørensen</t>
        </is>
      </c>
      <c r="F56" s="20" t="n">
        <v>5500</v>
      </c>
      <c r="G56" s="34" t="inlineStr">
        <is>
          <t>Pilot converted</t>
        </is>
      </c>
    </row>
    <row r="57">
      <c r="A57" s="39" t="inlineStr">
        <is>
          <t>2024-04-08</t>
        </is>
      </c>
      <c r="B57" s="18" t="inlineStr">
        <is>
          <t>AMER East</t>
        </is>
      </c>
      <c r="C57" s="18" t="inlineStr">
        <is>
          <t>Signal Core</t>
        </is>
      </c>
      <c r="D57" s="18" t="inlineStr">
        <is>
          <t>Enterprise</t>
        </is>
      </c>
      <c r="E57" s="18" t="inlineStr">
        <is>
          <t>F. Duarte</t>
        </is>
      </c>
      <c r="F57" s="20" t="n">
        <v>121400</v>
      </c>
      <c r="G57" s="34" t="inlineStr">
        <is>
          <t>Standard list price</t>
        </is>
      </c>
    </row>
    <row r="58">
      <c r="A58" s="39" t="inlineStr">
        <is>
          <t>2024-04-15</t>
        </is>
      </c>
      <c r="B58" s="18" t="inlineStr">
        <is>
          <t>APAC</t>
        </is>
      </c>
      <c r="C58" s="18" t="inlineStr">
        <is>
          <t>Signal Pro</t>
        </is>
      </c>
      <c r="D58" s="18" t="inlineStr">
        <is>
          <t>SMB</t>
        </is>
      </c>
      <c r="E58" s="18" t="inlineStr">
        <is>
          <t>H. Vasquez</t>
        </is>
      </c>
      <c r="F58" s="20" t="n">
        <v>53700</v>
      </c>
      <c r="G58" s="34" t="inlineStr">
        <is>
          <t>Multi-year prepay</t>
        </is>
      </c>
    </row>
    <row r="59">
      <c r="A59" s="39" t="inlineStr">
        <is>
          <t>2024-04-22</t>
        </is>
      </c>
      <c r="B59" s="18" t="inlineStr">
        <is>
          <t>AMER East</t>
        </is>
      </c>
      <c r="C59" s="18" t="inlineStr">
        <is>
          <t>Signal Pro</t>
        </is>
      </c>
      <c r="D59" s="18" t="inlineStr">
        <is>
          <t>Mid-market</t>
        </is>
      </c>
      <c r="E59" s="18" t="inlineStr">
        <is>
          <t>E. Nakamura</t>
        </is>
      </c>
      <c r="F59" s="20" t="n">
        <v>112500</v>
      </c>
      <c r="G59" s="34" t="inlineStr">
        <is>
          <t>Multi-year prepay</t>
        </is>
      </c>
    </row>
    <row r="60">
      <c r="A60" s="39" t="inlineStr">
        <is>
          <t>2024-04-29</t>
        </is>
      </c>
      <c r="B60" s="18" t="inlineStr">
        <is>
          <t>AMER East</t>
        </is>
      </c>
      <c r="C60" s="18" t="inlineStr">
        <is>
          <t>Signal Pro</t>
        </is>
      </c>
      <c r="D60" s="18" t="inlineStr">
        <is>
          <t>Mid-market</t>
        </is>
      </c>
      <c r="E60" s="18" t="inlineStr">
        <is>
          <t>A. Okafor</t>
        </is>
      </c>
      <c r="F60" s="20" t="n">
        <v>25700</v>
      </c>
      <c r="G60" s="34" t="inlineStr">
        <is>
          <t>Multi-year prepay</t>
        </is>
      </c>
    </row>
    <row r="61">
      <c r="A61" s="39" t="inlineStr">
        <is>
          <t>2024-04-06</t>
        </is>
      </c>
      <c r="B61" s="18" t="inlineStr">
        <is>
          <t>EMEA</t>
        </is>
      </c>
      <c r="C61" s="18" t="inlineStr">
        <is>
          <t>Alerts add-on</t>
        </is>
      </c>
      <c r="D61" s="18" t="inlineStr">
        <is>
          <t>Enterprise</t>
        </is>
      </c>
      <c r="E61" s="18" t="inlineStr">
        <is>
          <t>F. Duarte</t>
        </is>
      </c>
      <c r="F61" s="20" t="n">
        <v>86100</v>
      </c>
      <c r="G61" s="34" t="inlineStr">
        <is>
          <t>Standard list price</t>
        </is>
      </c>
    </row>
    <row r="62">
      <c r="A62" s="39" t="inlineStr">
        <is>
          <t>2024-04-13</t>
        </is>
      </c>
      <c r="B62" s="18" t="inlineStr">
        <is>
          <t>EMEA</t>
        </is>
      </c>
      <c r="C62" s="18" t="inlineStr">
        <is>
          <t>Signal Core</t>
        </is>
      </c>
      <c r="D62" s="18" t="inlineStr">
        <is>
          <t>Enterprise</t>
        </is>
      </c>
      <c r="E62" s="18" t="inlineStr">
        <is>
          <t>B. Lindqvist</t>
        </is>
      </c>
      <c r="F62" s="20" t="n">
        <v>84900</v>
      </c>
      <c r="G62" s="34" t="inlineStr">
        <is>
          <t>Pilot converted</t>
        </is>
      </c>
    </row>
    <row r="63">
      <c r="A63" s="39" t="inlineStr">
        <is>
          <t>2024-04-20</t>
        </is>
      </c>
      <c r="B63" s="18" t="inlineStr">
        <is>
          <t>AMER West</t>
        </is>
      </c>
      <c r="C63" s="18" t="inlineStr">
        <is>
          <t>Embedded Reports</t>
        </is>
      </c>
      <c r="D63" s="18" t="inlineStr">
        <is>
          <t>SMB</t>
        </is>
      </c>
      <c r="E63" s="18" t="inlineStr">
        <is>
          <t>J. Adeyemi</t>
        </is>
      </c>
      <c r="F63" s="20" t="n">
        <v>69300</v>
      </c>
      <c r="G63" s="34" t="inlineStr">
        <is>
          <t>Co-term with parent</t>
        </is>
      </c>
    </row>
    <row r="64">
      <c r="A64" s="39" t="inlineStr">
        <is>
          <t>2024-04-27</t>
        </is>
      </c>
      <c r="B64" s="18" t="inlineStr">
        <is>
          <t>APAC</t>
        </is>
      </c>
      <c r="C64" s="18" t="inlineStr">
        <is>
          <t>Signal Pro</t>
        </is>
      </c>
      <c r="D64" s="18" t="inlineStr">
        <is>
          <t>Mid-market</t>
        </is>
      </c>
      <c r="E64" s="18" t="inlineStr">
        <is>
          <t>E. Nakamura</t>
        </is>
      </c>
      <c r="F64" s="20" t="n">
        <v>51600</v>
      </c>
      <c r="G64" s="34" t="inlineStr">
        <is>
          <t>Pilot converted</t>
        </is>
      </c>
    </row>
    <row r="65">
      <c r="A65" s="39" t="inlineStr">
        <is>
          <t>2024-04-04</t>
        </is>
      </c>
      <c r="B65" s="18" t="inlineStr">
        <is>
          <t>APAC</t>
        </is>
      </c>
      <c r="C65" s="18" t="inlineStr">
        <is>
          <t>Alerts add-on</t>
        </is>
      </c>
      <c r="D65" s="18" t="inlineStr">
        <is>
          <t>Mid-market</t>
        </is>
      </c>
      <c r="E65" s="18" t="inlineStr">
        <is>
          <t>C. Marín</t>
        </is>
      </c>
      <c r="F65" s="20" t="n">
        <v>12600</v>
      </c>
      <c r="G65" s="34" t="inlineStr">
        <is>
          <t>Partner-sourced</t>
        </is>
      </c>
    </row>
    <row r="66">
      <c r="A66" s="39" t="inlineStr">
        <is>
          <t>2024-04-11</t>
        </is>
      </c>
      <c r="B66" s="18" t="inlineStr">
        <is>
          <t>APAC</t>
        </is>
      </c>
      <c r="C66" s="18" t="inlineStr">
        <is>
          <t>Embedded Reports</t>
        </is>
      </c>
      <c r="D66" s="18" t="inlineStr">
        <is>
          <t>SMB</t>
        </is>
      </c>
      <c r="E66" s="18" t="inlineStr">
        <is>
          <t>A. Okafor</t>
        </is>
      </c>
      <c r="F66" s="20" t="n">
        <v>58200</v>
      </c>
      <c r="G66" s="34" t="inlineStr">
        <is>
          <t>Ramped deal, year one</t>
        </is>
      </c>
    </row>
    <row r="67">
      <c r="A67" s="39" t="inlineStr">
        <is>
          <t>2024-04-18</t>
        </is>
      </c>
      <c r="B67" s="18" t="inlineStr">
        <is>
          <t>AMER East</t>
        </is>
      </c>
      <c r="C67" s="18" t="inlineStr">
        <is>
          <t>Warehouse Connect</t>
        </is>
      </c>
      <c r="D67" s="18" t="inlineStr">
        <is>
          <t>Mid-market</t>
        </is>
      </c>
      <c r="E67" s="18" t="inlineStr">
        <is>
          <t>D. Chatterjee</t>
        </is>
      </c>
      <c r="F67" s="20" t="n">
        <v>9200</v>
      </c>
      <c r="G67" s="34" t="inlineStr">
        <is>
          <t>Competitive displacement</t>
        </is>
      </c>
    </row>
    <row r="68">
      <c r="A68" s="39" t="inlineStr">
        <is>
          <t>2024-04-25</t>
        </is>
      </c>
      <c r="B68" s="18" t="inlineStr">
        <is>
          <t>LATAM</t>
        </is>
      </c>
      <c r="C68" s="18" t="inlineStr">
        <is>
          <t>Signal Pro</t>
        </is>
      </c>
      <c r="D68" s="18" t="inlineStr">
        <is>
          <t>Mid-market</t>
        </is>
      </c>
      <c r="E68" s="18" t="inlineStr">
        <is>
          <t>H. Vasquez</t>
        </is>
      </c>
      <c r="F68" s="20" t="n">
        <v>72100</v>
      </c>
      <c r="G68" s="34" t="inlineStr">
        <is>
          <t>Ramped deal, year one</t>
        </is>
      </c>
    </row>
    <row r="69">
      <c r="A69" s="39" t="inlineStr">
        <is>
          <t>2024-04-02</t>
        </is>
      </c>
      <c r="B69" s="18" t="inlineStr">
        <is>
          <t>LATAM</t>
        </is>
      </c>
      <c r="C69" s="18" t="inlineStr">
        <is>
          <t>Warehouse Connect</t>
        </is>
      </c>
      <c r="D69" s="18" t="inlineStr">
        <is>
          <t>Enterprise</t>
        </is>
      </c>
      <c r="E69" s="18" t="inlineStr">
        <is>
          <t>K. Sørensen</t>
        </is>
      </c>
      <c r="F69" s="20" t="n">
        <v>78300</v>
      </c>
      <c r="G69" s="34" t="inlineStr">
        <is>
          <t>Co-term with parent</t>
        </is>
      </c>
    </row>
    <row r="70">
      <c r="A70" s="39" t="inlineStr">
        <is>
          <t>2024-04-09</t>
        </is>
      </c>
      <c r="B70" s="18" t="inlineStr">
        <is>
          <t>AMER West</t>
        </is>
      </c>
      <c r="C70" s="18" t="inlineStr">
        <is>
          <t>Signal Pro</t>
        </is>
      </c>
      <c r="D70" s="18" t="inlineStr">
        <is>
          <t>Enterprise</t>
        </is>
      </c>
      <c r="E70" s="18" t="inlineStr">
        <is>
          <t>E. Nakamura</t>
        </is>
      </c>
      <c r="F70" s="20" t="n">
        <v>115800</v>
      </c>
      <c r="G70" s="34" t="inlineStr">
        <is>
          <t>Competitive displacement</t>
        </is>
      </c>
    </row>
    <row r="71">
      <c r="A71" s="39" t="inlineStr">
        <is>
          <t>2024-04-16</t>
        </is>
      </c>
      <c r="B71" s="18" t="inlineStr">
        <is>
          <t>AMER East</t>
        </is>
      </c>
      <c r="C71" s="18" t="inlineStr">
        <is>
          <t>Signal Pro</t>
        </is>
      </c>
      <c r="D71" s="18" t="inlineStr">
        <is>
          <t>SMB</t>
        </is>
      </c>
      <c r="E71" s="18" t="inlineStr">
        <is>
          <t>J. Adeyemi</t>
        </is>
      </c>
      <c r="F71" s="20" t="n">
        <v>50400</v>
      </c>
      <c r="G71" s="34" t="inlineStr">
        <is>
          <t>Renewal uplift 7%</t>
        </is>
      </c>
    </row>
    <row r="72">
      <c r="A72" s="39" t="inlineStr">
        <is>
          <t>2024-04-23</t>
        </is>
      </c>
      <c r="B72" s="18" t="inlineStr">
        <is>
          <t>AMER East</t>
        </is>
      </c>
      <c r="C72" s="18" t="inlineStr">
        <is>
          <t>Alerts add-on</t>
        </is>
      </c>
      <c r="D72" s="18" t="inlineStr">
        <is>
          <t>SMB</t>
        </is>
      </c>
      <c r="E72" s="18" t="inlineStr">
        <is>
          <t>F. Duarte</t>
        </is>
      </c>
      <c r="F72" s="20" t="n">
        <v>56600</v>
      </c>
      <c r="G72" s="34" t="inlineStr">
        <is>
          <t>Multi-year prepay</t>
        </is>
      </c>
    </row>
    <row r="73">
      <c r="A73" s="39" t="inlineStr">
        <is>
          <t>2024-04-30</t>
        </is>
      </c>
      <c r="B73" s="18" t="inlineStr">
        <is>
          <t>AMER East</t>
        </is>
      </c>
      <c r="C73" s="18" t="inlineStr">
        <is>
          <t>Alerts add-on</t>
        </is>
      </c>
      <c r="D73" s="18" t="inlineStr">
        <is>
          <t>Mid-market</t>
        </is>
      </c>
      <c r="E73" s="18" t="inlineStr">
        <is>
          <t>H. Vasquez</t>
        </is>
      </c>
      <c r="F73" s="20" t="n">
        <v>19600</v>
      </c>
      <c r="G73" s="34" t="inlineStr">
        <is>
          <t>Multi-year prepay</t>
        </is>
      </c>
    </row>
    <row r="74">
      <c r="A74" s="39" t="inlineStr">
        <is>
          <t>2024-04-07</t>
        </is>
      </c>
      <c r="B74" s="18" t="inlineStr">
        <is>
          <t>EMEA</t>
        </is>
      </c>
      <c r="C74" s="18" t="inlineStr">
        <is>
          <t>Embedded Reports</t>
        </is>
      </c>
      <c r="D74" s="18" t="inlineStr">
        <is>
          <t>Enterprise</t>
        </is>
      </c>
      <c r="E74" s="18" t="inlineStr">
        <is>
          <t>K. Sørensen</t>
        </is>
      </c>
      <c r="F74" s="20" t="n">
        <v>67200</v>
      </c>
      <c r="G74" s="34" t="inlineStr">
        <is>
          <t>Multi-year prepay</t>
        </is>
      </c>
    </row>
    <row r="75">
      <c r="A75" s="39" t="inlineStr">
        <is>
          <t>2024-04-14</t>
        </is>
      </c>
      <c r="B75" s="18" t="inlineStr">
        <is>
          <t>LATAM</t>
        </is>
      </c>
      <c r="C75" s="18" t="inlineStr">
        <is>
          <t>Signal Core</t>
        </is>
      </c>
      <c r="D75" s="18" t="inlineStr">
        <is>
          <t>Mid-market</t>
        </is>
      </c>
      <c r="E75" s="18" t="inlineStr">
        <is>
          <t>F. Duarte</t>
        </is>
      </c>
      <c r="F75" s="20" t="n">
        <v>7200</v>
      </c>
      <c r="G75" s="34" t="inlineStr">
        <is>
          <t>Multi-year prepay</t>
        </is>
      </c>
    </row>
    <row r="76">
      <c r="A76" s="39" t="inlineStr">
        <is>
          <t>2024-04-21</t>
        </is>
      </c>
      <c r="B76" s="18" t="inlineStr">
        <is>
          <t>LATAM</t>
        </is>
      </c>
      <c r="C76" s="18" t="inlineStr">
        <is>
          <t>Embedded Reports</t>
        </is>
      </c>
      <c r="D76" s="18" t="inlineStr">
        <is>
          <t>Enterprise</t>
        </is>
      </c>
      <c r="E76" s="18" t="inlineStr">
        <is>
          <t>B. Lindqvist</t>
        </is>
      </c>
      <c r="F76" s="20" t="n">
        <v>38600</v>
      </c>
      <c r="G76" s="34" t="inlineStr">
        <is>
          <t>Competitive displacement</t>
        </is>
      </c>
    </row>
    <row r="77">
      <c r="A77" s="39" t="inlineStr">
        <is>
          <t>2024-04-28</t>
        </is>
      </c>
      <c r="B77" s="18" t="inlineStr">
        <is>
          <t>APAC</t>
        </is>
      </c>
      <c r="C77" s="18" t="inlineStr">
        <is>
          <t>Alerts add-on</t>
        </is>
      </c>
      <c r="D77" s="18" t="inlineStr">
        <is>
          <t>Enterprise</t>
        </is>
      </c>
      <c r="E77" s="18" t="inlineStr">
        <is>
          <t>F. Duarte</t>
        </is>
      </c>
      <c r="F77" s="20" t="n">
        <v>88800</v>
      </c>
      <c r="G77" s="34" t="inlineStr">
        <is>
          <t>Standard list price</t>
        </is>
      </c>
    </row>
    <row r="78">
      <c r="A78" s="39" t="inlineStr">
        <is>
          <t>2024-04-05</t>
        </is>
      </c>
      <c r="B78" s="18" t="inlineStr">
        <is>
          <t>LATAM</t>
        </is>
      </c>
      <c r="C78" s="18" t="inlineStr">
        <is>
          <t>Signal Pro</t>
        </is>
      </c>
      <c r="D78" s="18" t="inlineStr">
        <is>
          <t>Enterprise</t>
        </is>
      </c>
      <c r="E78" s="18" t="inlineStr">
        <is>
          <t>A. Okafor</t>
        </is>
      </c>
      <c r="F78" s="20" t="n">
        <v>20300</v>
      </c>
      <c r="G78" s="34" t="inlineStr">
        <is>
          <t>Renewal uplift 7%</t>
        </is>
      </c>
    </row>
    <row r="79">
      <c r="A79" s="39" t="inlineStr">
        <is>
          <t>2024-04-12</t>
        </is>
      </c>
      <c r="B79" s="18" t="inlineStr">
        <is>
          <t>APAC</t>
        </is>
      </c>
      <c r="C79" s="18" t="inlineStr">
        <is>
          <t>Embedded Reports</t>
        </is>
      </c>
      <c r="D79" s="18" t="inlineStr">
        <is>
          <t>Enterprise</t>
        </is>
      </c>
      <c r="E79" s="18" t="inlineStr">
        <is>
          <t>G. Halloran</t>
        </is>
      </c>
      <c r="F79" s="20" t="n">
        <v>174300</v>
      </c>
      <c r="G79" s="34" t="inlineStr">
        <is>
          <t>Multi-year prepay</t>
        </is>
      </c>
    </row>
    <row r="80">
      <c r="A80" s="39" t="inlineStr">
        <is>
          <t>2024-04-19</t>
        </is>
      </c>
      <c r="B80" s="18" t="inlineStr">
        <is>
          <t>AMER East</t>
        </is>
      </c>
      <c r="C80" s="18" t="inlineStr">
        <is>
          <t>Alerts add-on</t>
        </is>
      </c>
      <c r="D80" s="18" t="inlineStr">
        <is>
          <t>Mid-market</t>
        </is>
      </c>
      <c r="E80" s="18" t="inlineStr">
        <is>
          <t>D. Chatterjee</t>
        </is>
      </c>
      <c r="F80" s="20" t="n">
        <v>25000</v>
      </c>
      <c r="G80" s="34" t="inlineStr">
        <is>
          <t>Co-term with parent</t>
        </is>
      </c>
    </row>
    <row r="81">
      <c r="A81" s="39" t="inlineStr">
        <is>
          <t>2024-04-26</t>
        </is>
      </c>
      <c r="B81" s="18" t="inlineStr">
        <is>
          <t>AMER West</t>
        </is>
      </c>
      <c r="C81" s="18" t="inlineStr">
        <is>
          <t>Alerts add-on</t>
        </is>
      </c>
      <c r="D81" s="18" t="inlineStr">
        <is>
          <t>Mid-market</t>
        </is>
      </c>
      <c r="E81" s="18" t="inlineStr">
        <is>
          <t>D. Chatterjee</t>
        </is>
      </c>
      <c r="F81" s="20" t="n">
        <v>49300</v>
      </c>
      <c r="G81" s="34" t="inlineStr">
        <is>
          <t>Ramped deal, year one</t>
        </is>
      </c>
    </row>
    <row r="82">
      <c r="A82" s="39" t="inlineStr">
        <is>
          <t>2024-04-03</t>
        </is>
      </c>
      <c r="B82" s="18" t="inlineStr">
        <is>
          <t>APAC</t>
        </is>
      </c>
      <c r="C82" s="18" t="inlineStr">
        <is>
          <t>Signal Core</t>
        </is>
      </c>
      <c r="D82" s="18" t="inlineStr">
        <is>
          <t>Mid-market</t>
        </is>
      </c>
      <c r="E82" s="18" t="inlineStr">
        <is>
          <t>E. Nakamura</t>
        </is>
      </c>
      <c r="F82" s="20" t="n">
        <v>65500</v>
      </c>
      <c r="G82" s="34" t="inlineStr">
        <is>
          <t>Partner-sourced</t>
        </is>
      </c>
    </row>
    <row r="83">
      <c r="A83" s="39" t="inlineStr">
        <is>
          <t>2024-04-10</t>
        </is>
      </c>
      <c r="B83" s="18" t="inlineStr">
        <is>
          <t>AMER East</t>
        </is>
      </c>
      <c r="C83" s="18" t="inlineStr">
        <is>
          <t>Embedded Reports</t>
        </is>
      </c>
      <c r="D83" s="18" t="inlineStr">
        <is>
          <t>Mid-market</t>
        </is>
      </c>
      <c r="E83" s="18" t="inlineStr">
        <is>
          <t>G. Halloran</t>
        </is>
      </c>
      <c r="F83" s="20" t="n">
        <v>51300</v>
      </c>
      <c r="G83" s="34" t="inlineStr">
        <is>
          <t>Pilot converted</t>
        </is>
      </c>
    </row>
    <row r="84">
      <c r="A84" s="39" t="inlineStr">
        <is>
          <t>2024-04-17</t>
        </is>
      </c>
      <c r="B84" s="18" t="inlineStr">
        <is>
          <t>AMER East</t>
        </is>
      </c>
      <c r="C84" s="18" t="inlineStr">
        <is>
          <t>Warehouse Connect</t>
        </is>
      </c>
      <c r="D84" s="18" t="inlineStr">
        <is>
          <t>Mid-market</t>
        </is>
      </c>
      <c r="E84" s="18" t="inlineStr">
        <is>
          <t>F. Duarte</t>
        </is>
      </c>
      <c r="F84" s="20" t="n">
        <v>34200</v>
      </c>
      <c r="G84" s="34" t="inlineStr">
        <is>
          <t>Ramped deal, year one</t>
        </is>
      </c>
    </row>
    <row r="85">
      <c r="A85" s="39" t="inlineStr">
        <is>
          <t>2024-04-24</t>
        </is>
      </c>
      <c r="B85" s="18" t="inlineStr">
        <is>
          <t>APAC</t>
        </is>
      </c>
      <c r="C85" s="18" t="inlineStr">
        <is>
          <t>Signal Pro</t>
        </is>
      </c>
      <c r="D85" s="18" t="inlineStr">
        <is>
          <t>SMB</t>
        </is>
      </c>
      <c r="E85" s="18" t="inlineStr">
        <is>
          <t>K. Sørensen</t>
        </is>
      </c>
      <c r="F85" s="20" t="n">
        <v>27300</v>
      </c>
      <c r="G85" s="34" t="inlineStr">
        <is>
          <t>Competitive displacement</t>
        </is>
      </c>
    </row>
    <row r="86">
      <c r="A86" s="39" t="inlineStr">
        <is>
          <t>2024-04-01</t>
        </is>
      </c>
      <c r="B86" s="18" t="inlineStr">
        <is>
          <t>EMEA</t>
        </is>
      </c>
      <c r="C86" s="18" t="inlineStr">
        <is>
          <t>Signal Core</t>
        </is>
      </c>
      <c r="D86" s="18" t="inlineStr">
        <is>
          <t>Enterprise</t>
        </is>
      </c>
      <c r="E86" s="18" t="inlineStr">
        <is>
          <t>E. Nakamura</t>
        </is>
      </c>
      <c r="F86" s="20" t="n">
        <v>8700</v>
      </c>
      <c r="G86" s="34" t="inlineStr">
        <is>
          <t>Co-term with parent</t>
        </is>
      </c>
    </row>
    <row r="87">
      <c r="A87" s="39" t="inlineStr">
        <is>
          <t>2024-04-08</t>
        </is>
      </c>
      <c r="B87" s="18" t="inlineStr">
        <is>
          <t>EMEA</t>
        </is>
      </c>
      <c r="C87" s="18" t="inlineStr">
        <is>
          <t>Alerts add-on</t>
        </is>
      </c>
      <c r="D87" s="18" t="inlineStr">
        <is>
          <t>Enterprise</t>
        </is>
      </c>
      <c r="E87" s="18" t="inlineStr">
        <is>
          <t>B. Lindqvist</t>
        </is>
      </c>
      <c r="F87" s="20" t="n">
        <v>5200</v>
      </c>
      <c r="G87" s="34" t="inlineStr">
        <is>
          <t>Renewal uplift 7%</t>
        </is>
      </c>
    </row>
    <row r="88">
      <c r="A88" s="39" t="inlineStr">
        <is>
          <t>2024-04-15</t>
        </is>
      </c>
      <c r="B88" s="18" t="inlineStr">
        <is>
          <t>LATAM</t>
        </is>
      </c>
      <c r="C88" s="18" t="inlineStr">
        <is>
          <t>Embedded Reports</t>
        </is>
      </c>
      <c r="D88" s="18" t="inlineStr">
        <is>
          <t>SMB</t>
        </is>
      </c>
      <c r="E88" s="18" t="inlineStr">
        <is>
          <t>G. Halloran</t>
        </is>
      </c>
      <c r="F88" s="20" t="n">
        <v>130200</v>
      </c>
      <c r="G88" s="34" t="inlineStr">
        <is>
          <t>Partner-sourced</t>
        </is>
      </c>
    </row>
    <row r="89">
      <c r="A89" s="39" t="inlineStr">
        <is>
          <t>2024-04-22</t>
        </is>
      </c>
      <c r="B89" s="18" t="inlineStr">
        <is>
          <t>AMER West</t>
        </is>
      </c>
      <c r="C89" s="18" t="inlineStr">
        <is>
          <t>Signal Core</t>
        </is>
      </c>
      <c r="D89" s="18" t="inlineStr">
        <is>
          <t>Enterprise</t>
        </is>
      </c>
      <c r="E89" s="18" t="inlineStr">
        <is>
          <t>D. Chatterjee</t>
        </is>
      </c>
      <c r="F89" s="20" t="n">
        <v>51500</v>
      </c>
      <c r="G89" s="34" t="inlineStr">
        <is>
          <t>Partner-sourced</t>
        </is>
      </c>
    </row>
    <row r="90">
      <c r="A90" s="39" t="inlineStr">
        <is>
          <t>2024-04-29</t>
        </is>
      </c>
      <c r="B90" s="18" t="inlineStr">
        <is>
          <t>AMER East</t>
        </is>
      </c>
      <c r="C90" s="18" t="inlineStr">
        <is>
          <t>Alerts add-on</t>
        </is>
      </c>
      <c r="D90" s="18" t="inlineStr">
        <is>
          <t>SMB</t>
        </is>
      </c>
      <c r="E90" s="18" t="inlineStr">
        <is>
          <t>B. Lindqvist</t>
        </is>
      </c>
      <c r="F90" s="20" t="n">
        <v>48900</v>
      </c>
      <c r="G90" s="34" t="inlineStr">
        <is>
          <t>Competitive displacement</t>
        </is>
      </c>
    </row>
    <row r="91">
      <c r="A91" s="39" t="inlineStr">
        <is>
          <t>2024-04-06</t>
        </is>
      </c>
      <c r="B91" s="18" t="inlineStr">
        <is>
          <t>AMER East</t>
        </is>
      </c>
      <c r="C91" s="18" t="inlineStr">
        <is>
          <t>Embedded Reports</t>
        </is>
      </c>
      <c r="D91" s="18" t="inlineStr">
        <is>
          <t>SMB</t>
        </is>
      </c>
      <c r="E91" s="18" t="inlineStr">
        <is>
          <t>A. Okafor</t>
        </is>
      </c>
      <c r="F91" s="20" t="n">
        <v>159600</v>
      </c>
      <c r="G91" s="34" t="inlineStr">
        <is>
          <t>Multi-year prepay</t>
        </is>
      </c>
    </row>
    <row r="92">
      <c r="A92" s="39" t="inlineStr">
        <is>
          <t>2024-04-13</t>
        </is>
      </c>
      <c r="B92" s="18" t="inlineStr">
        <is>
          <t>AMER West</t>
        </is>
      </c>
      <c r="C92" s="18" t="inlineStr">
        <is>
          <t>Embedded Reports</t>
        </is>
      </c>
      <c r="D92" s="18" t="inlineStr">
        <is>
          <t>SMB</t>
        </is>
      </c>
      <c r="E92" s="18" t="inlineStr">
        <is>
          <t>J. Adeyemi</t>
        </is>
      </c>
      <c r="F92" s="20" t="n">
        <v>21200</v>
      </c>
      <c r="G92" s="34" t="inlineStr">
        <is>
          <t>Co-term with parent</t>
        </is>
      </c>
    </row>
    <row r="93">
      <c r="A93" s="39" t="inlineStr">
        <is>
          <t>2024-04-20</t>
        </is>
      </c>
      <c r="B93" s="18" t="inlineStr">
        <is>
          <t>AMER East</t>
        </is>
      </c>
      <c r="C93" s="18" t="inlineStr">
        <is>
          <t>Warehouse Connect</t>
        </is>
      </c>
      <c r="D93" s="18" t="inlineStr">
        <is>
          <t>SMB</t>
        </is>
      </c>
      <c r="E93" s="18" t="inlineStr">
        <is>
          <t>G. Halloran</t>
        </is>
      </c>
      <c r="F93" s="20" t="n">
        <v>11700</v>
      </c>
      <c r="G93" s="34" t="inlineStr">
        <is>
          <t>Ramped deal, year one</t>
        </is>
      </c>
    </row>
    <row r="94">
      <c r="A94" s="39" t="inlineStr">
        <is>
          <t>2024-04-27</t>
        </is>
      </c>
      <c r="B94" s="18" t="inlineStr">
        <is>
          <t>AMER West</t>
        </is>
      </c>
      <c r="C94" s="18" t="inlineStr">
        <is>
          <t>Signal Core</t>
        </is>
      </c>
      <c r="D94" s="18" t="inlineStr">
        <is>
          <t>Enterprise</t>
        </is>
      </c>
      <c r="E94" s="18" t="inlineStr">
        <is>
          <t>D. Chatterjee</t>
        </is>
      </c>
      <c r="F94" s="20" t="n">
        <v>12900</v>
      </c>
      <c r="G94" s="34" t="inlineStr">
        <is>
          <t>Multi-year prepay</t>
        </is>
      </c>
    </row>
    <row r="95">
      <c r="A95" s="39" t="inlineStr">
        <is>
          <t>2024-04-04</t>
        </is>
      </c>
      <c r="B95" s="18" t="inlineStr">
        <is>
          <t>AMER East</t>
        </is>
      </c>
      <c r="C95" s="18" t="inlineStr">
        <is>
          <t>Signal Pro</t>
        </is>
      </c>
      <c r="D95" s="18" t="inlineStr">
        <is>
          <t>Enterprise</t>
        </is>
      </c>
      <c r="E95" s="18" t="inlineStr">
        <is>
          <t>B. Lindqvist</t>
        </is>
      </c>
      <c r="F95" s="20" t="n">
        <v>84000</v>
      </c>
      <c r="G95" s="34" t="inlineStr">
        <is>
          <t>Partner-sourced</t>
        </is>
      </c>
    </row>
    <row r="96">
      <c r="A96" s="39" t="inlineStr">
        <is>
          <t>2024-04-11</t>
        </is>
      </c>
      <c r="B96" s="18" t="inlineStr">
        <is>
          <t>APAC</t>
        </is>
      </c>
      <c r="C96" s="18" t="inlineStr">
        <is>
          <t>Alerts add-on</t>
        </is>
      </c>
      <c r="D96" s="18" t="inlineStr">
        <is>
          <t>SMB</t>
        </is>
      </c>
      <c r="E96" s="18" t="inlineStr">
        <is>
          <t>D. Chatterjee</t>
        </is>
      </c>
      <c r="F96" s="20" t="n">
        <v>87400</v>
      </c>
      <c r="G96" s="34" t="inlineStr">
        <is>
          <t>Multi-year prepay</t>
        </is>
      </c>
    </row>
    <row r="97">
      <c r="A97" s="39" t="inlineStr">
        <is>
          <t>2024-04-18</t>
        </is>
      </c>
      <c r="B97" s="18" t="inlineStr">
        <is>
          <t>AMER East</t>
        </is>
      </c>
      <c r="C97" s="18" t="inlineStr">
        <is>
          <t>Signal Core</t>
        </is>
      </c>
      <c r="D97" s="18" t="inlineStr">
        <is>
          <t>Mid-market</t>
        </is>
      </c>
      <c r="E97" s="18" t="inlineStr">
        <is>
          <t>C. Marín</t>
        </is>
      </c>
      <c r="F97" s="20" t="n">
        <v>70000</v>
      </c>
      <c r="G97" s="34" t="inlineStr">
        <is>
          <t>Competitive displacement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2024-05-16</t>
        </is>
      </c>
      <c r="B2" s="18" t="inlineStr">
        <is>
          <t>APAC</t>
        </is>
      </c>
      <c r="C2" s="18" t="inlineStr">
        <is>
          <t>Signal Core</t>
        </is>
      </c>
      <c r="D2" s="18" t="inlineStr">
        <is>
          <t>SMB</t>
        </is>
      </c>
      <c r="E2" s="18" t="inlineStr">
        <is>
          <t>B. Lindqvist</t>
        </is>
      </c>
      <c r="F2" s="20" t="n">
        <v>26700</v>
      </c>
      <c r="G2" s="34" t="inlineStr">
        <is>
          <t>Rebate carried from legacy 10% promo</t>
        </is>
      </c>
    </row>
    <row r="3">
      <c r="A3" s="39" t="inlineStr">
        <is>
          <t>2024-05-23</t>
        </is>
      </c>
      <c r="B3" s="18" t="inlineStr">
        <is>
          <t>EMEA</t>
        </is>
      </c>
      <c r="C3" s="18" t="inlineStr">
        <is>
          <t>Embedded Reports</t>
        </is>
      </c>
      <c r="D3" s="18" t="inlineStr">
        <is>
          <t>SMB</t>
        </is>
      </c>
      <c r="E3" s="18" t="inlineStr">
        <is>
          <t>A. Okafor</t>
        </is>
      </c>
      <c r="F3" s="20" t="n">
        <v>52200</v>
      </c>
      <c r="G3" s="34" t="inlineStr">
        <is>
          <t>Renewal uplift 7%</t>
        </is>
      </c>
    </row>
    <row r="4">
      <c r="A4" s="39" t="inlineStr">
        <is>
          <t>2024-05-30</t>
        </is>
      </c>
      <c r="B4" s="18" t="inlineStr">
        <is>
          <t>APAC</t>
        </is>
      </c>
      <c r="C4" s="18" t="inlineStr">
        <is>
          <t>Warehouse Connect</t>
        </is>
      </c>
      <c r="D4" s="18" t="inlineStr">
        <is>
          <t>SMB</t>
        </is>
      </c>
      <c r="E4" s="18" t="inlineStr">
        <is>
          <t>B. Lindqvist</t>
        </is>
      </c>
      <c r="F4" s="20" t="n">
        <v>27300</v>
      </c>
      <c r="G4" s="34" t="inlineStr">
        <is>
          <t>Ramped deal, year one</t>
        </is>
      </c>
    </row>
    <row r="5">
      <c r="A5" s="39" t="inlineStr">
        <is>
          <t>2024-05-06</t>
        </is>
      </c>
      <c r="B5" s="18" t="inlineStr">
        <is>
          <t>AMER East</t>
        </is>
      </c>
      <c r="C5" s="18" t="inlineStr">
        <is>
          <t>Warehouse Connect</t>
        </is>
      </c>
      <c r="D5" s="18" t="inlineStr">
        <is>
          <t>Enterprise</t>
        </is>
      </c>
      <c r="E5" s="18" t="inlineStr">
        <is>
          <t>E. Nakamura</t>
        </is>
      </c>
      <c r="F5" s="20" t="n">
        <v>129300</v>
      </c>
      <c r="G5" s="34" t="inlineStr">
        <is>
          <t>Partner-sourced</t>
        </is>
      </c>
    </row>
    <row r="6">
      <c r="A6" s="39" t="inlineStr">
        <is>
          <t>2024-05-13</t>
        </is>
      </c>
      <c r="B6" s="18" t="inlineStr">
        <is>
          <t>AMER West</t>
        </is>
      </c>
      <c r="C6" s="18" t="inlineStr">
        <is>
          <t>Signal Core</t>
        </is>
      </c>
      <c r="D6" s="18" t="inlineStr">
        <is>
          <t>Enterprise</t>
        </is>
      </c>
      <c r="E6" s="18" t="inlineStr">
        <is>
          <t>G. Halloran</t>
        </is>
      </c>
      <c r="F6" s="20" t="n">
        <v>24000</v>
      </c>
      <c r="G6" s="34" t="inlineStr">
        <is>
          <t>Standard list price</t>
        </is>
      </c>
    </row>
    <row r="7">
      <c r="A7" s="39" t="inlineStr">
        <is>
          <t>2024-05-20</t>
        </is>
      </c>
      <c r="B7" s="18" t="inlineStr">
        <is>
          <t>AMER West</t>
        </is>
      </c>
      <c r="C7" s="18" t="inlineStr">
        <is>
          <t>Signal Core</t>
        </is>
      </c>
      <c r="D7" s="18" t="inlineStr">
        <is>
          <t>SMB</t>
        </is>
      </c>
      <c r="E7" s="18" t="inlineStr">
        <is>
          <t>A. Okafor</t>
        </is>
      </c>
      <c r="F7" s="20" t="n">
        <v>26400</v>
      </c>
      <c r="G7" s="34" t="inlineStr">
        <is>
          <t>Ramped deal, year one</t>
        </is>
      </c>
    </row>
    <row r="8">
      <c r="A8" s="39" t="inlineStr">
        <is>
          <t>2024-05-27</t>
        </is>
      </c>
      <c r="B8" s="18" t="inlineStr">
        <is>
          <t>LATAM</t>
        </is>
      </c>
      <c r="C8" s="18" t="inlineStr">
        <is>
          <t>Embedded Reports</t>
        </is>
      </c>
      <c r="D8" s="18" t="inlineStr">
        <is>
          <t>Enterprise</t>
        </is>
      </c>
      <c r="E8" s="18" t="inlineStr">
        <is>
          <t>J. Adeyemi</t>
        </is>
      </c>
      <c r="F8" s="20" t="n">
        <v>13700</v>
      </c>
      <c r="G8" s="34" t="inlineStr">
        <is>
          <t>Renewal uplift 7%</t>
        </is>
      </c>
    </row>
    <row r="9">
      <c r="A9" s="39" t="inlineStr">
        <is>
          <t>2024-05-03</t>
        </is>
      </c>
      <c r="B9" s="18" t="inlineStr">
        <is>
          <t>LATAM</t>
        </is>
      </c>
      <c r="C9" s="18" t="inlineStr">
        <is>
          <t>Embedded Reports</t>
        </is>
      </c>
      <c r="D9" s="18" t="inlineStr">
        <is>
          <t>Enterprise</t>
        </is>
      </c>
      <c r="E9" s="18" t="inlineStr">
        <is>
          <t>D. Chatterjee</t>
        </is>
      </c>
      <c r="F9" s="20" t="n">
        <v>70000</v>
      </c>
      <c r="G9" s="34" t="inlineStr">
        <is>
          <t>Renewal uplift 7%</t>
        </is>
      </c>
    </row>
    <row r="10">
      <c r="A10" s="39" t="inlineStr">
        <is>
          <t>2024-05-10</t>
        </is>
      </c>
      <c r="B10" s="18" t="inlineStr">
        <is>
          <t>AMER East</t>
        </is>
      </c>
      <c r="C10" s="18" t="inlineStr">
        <is>
          <t>Signal Core</t>
        </is>
      </c>
      <c r="D10" s="18" t="inlineStr">
        <is>
          <t>Mid-market</t>
        </is>
      </c>
      <c r="E10" s="18" t="inlineStr">
        <is>
          <t>D. Chatterjee</t>
        </is>
      </c>
      <c r="F10" s="20" t="n">
        <v>80400</v>
      </c>
      <c r="G10" s="34" t="inlineStr">
        <is>
          <t>Co-term with parent</t>
        </is>
      </c>
    </row>
    <row r="11">
      <c r="A11" s="39" t="inlineStr">
        <is>
          <t>2024-05-17</t>
        </is>
      </c>
      <c r="B11" s="18" t="inlineStr">
        <is>
          <t>AMER East</t>
        </is>
      </c>
      <c r="C11" s="18" t="inlineStr">
        <is>
          <t>Signal Pro</t>
        </is>
      </c>
      <c r="D11" s="18" t="inlineStr">
        <is>
          <t>SMB</t>
        </is>
      </c>
      <c r="E11" s="18" t="inlineStr">
        <is>
          <t>H. Vasquez</t>
        </is>
      </c>
      <c r="F11" s="20" t="n">
        <v>14600</v>
      </c>
      <c r="G11" s="34" t="inlineStr">
        <is>
          <t>Partner-sourced</t>
        </is>
      </c>
    </row>
    <row r="12">
      <c r="A12" s="39" t="inlineStr">
        <is>
          <t>2024-05-24</t>
        </is>
      </c>
      <c r="B12" s="18" t="inlineStr">
        <is>
          <t>APAC</t>
        </is>
      </c>
      <c r="C12" s="18" t="inlineStr">
        <is>
          <t>Signal Pro</t>
        </is>
      </c>
      <c r="D12" s="18" t="inlineStr">
        <is>
          <t>SMB</t>
        </is>
      </c>
      <c r="E12" s="18" t="inlineStr">
        <is>
          <t>F. Duarte</t>
        </is>
      </c>
      <c r="F12" s="20" t="n">
        <v>17500</v>
      </c>
      <c r="G12" s="34" t="inlineStr">
        <is>
          <t>Ramped deal, year one</t>
        </is>
      </c>
    </row>
    <row r="13">
      <c r="A13" s="39" t="inlineStr">
        <is>
          <t>2024-05-31</t>
        </is>
      </c>
      <c r="B13" s="18" t="inlineStr">
        <is>
          <t>AMER West</t>
        </is>
      </c>
      <c r="C13" s="18" t="inlineStr">
        <is>
          <t>Warehouse Connect</t>
        </is>
      </c>
      <c r="D13" s="18" t="inlineStr">
        <is>
          <t>Mid-market</t>
        </is>
      </c>
      <c r="E13" s="18" t="inlineStr">
        <is>
          <t>H. Vasquez</t>
        </is>
      </c>
      <c r="F13" s="20" t="n">
        <v>77600</v>
      </c>
      <c r="G13" s="34" t="inlineStr">
        <is>
          <t>Competitive displacement</t>
        </is>
      </c>
    </row>
    <row r="14">
      <c r="A14" s="39" t="inlineStr">
        <is>
          <t>2024-05-07</t>
        </is>
      </c>
      <c r="B14" s="18" t="inlineStr">
        <is>
          <t>LATAM</t>
        </is>
      </c>
      <c r="C14" s="18" t="inlineStr">
        <is>
          <t>Signal Core</t>
        </is>
      </c>
      <c r="D14" s="18" t="inlineStr">
        <is>
          <t>Mid-market</t>
        </is>
      </c>
      <c r="E14" s="18" t="inlineStr">
        <is>
          <t>G. Halloran</t>
        </is>
      </c>
      <c r="F14" s="20" t="n">
        <v>33100</v>
      </c>
      <c r="G14" s="34" t="inlineStr">
        <is>
          <t>Ramped deal, year one</t>
        </is>
      </c>
    </row>
    <row r="15">
      <c r="A15" s="39" t="inlineStr">
        <is>
          <t>2024-05-14</t>
        </is>
      </c>
      <c r="B15" s="18" t="inlineStr">
        <is>
          <t>AMER West</t>
        </is>
      </c>
      <c r="C15" s="18" t="inlineStr">
        <is>
          <t>Warehouse Connect</t>
        </is>
      </c>
      <c r="D15" s="18" t="inlineStr">
        <is>
          <t>SMB</t>
        </is>
      </c>
      <c r="E15" s="18" t="inlineStr">
        <is>
          <t>A. Okafor</t>
        </is>
      </c>
      <c r="F15" s="20" t="n">
        <v>47500</v>
      </c>
      <c r="G15" s="34" t="inlineStr">
        <is>
          <t>Partner-sourced</t>
        </is>
      </c>
    </row>
    <row r="16">
      <c r="A16" s="39" t="inlineStr">
        <is>
          <t>2024-05-21</t>
        </is>
      </c>
      <c r="B16" s="18" t="inlineStr">
        <is>
          <t>AMER West</t>
        </is>
      </c>
      <c r="C16" s="18" t="inlineStr">
        <is>
          <t>Warehouse Connect</t>
        </is>
      </c>
      <c r="D16" s="18" t="inlineStr">
        <is>
          <t>Enterprise</t>
        </is>
      </c>
      <c r="E16" s="18" t="inlineStr">
        <is>
          <t>J. Adeyemi</t>
        </is>
      </c>
      <c r="F16" s="20" t="n">
        <v>5200</v>
      </c>
      <c r="G16" s="34" t="inlineStr">
        <is>
          <t>Multi-year prepay</t>
        </is>
      </c>
    </row>
    <row r="17">
      <c r="A17" s="39" t="inlineStr">
        <is>
          <t>2024-05-28</t>
        </is>
      </c>
      <c r="B17" s="18" t="inlineStr">
        <is>
          <t>AMER East</t>
        </is>
      </c>
      <c r="C17" s="18" t="inlineStr">
        <is>
          <t>Alerts add-on</t>
        </is>
      </c>
      <c r="D17" s="18" t="inlineStr">
        <is>
          <t>Mid-market</t>
        </is>
      </c>
      <c r="E17" s="18" t="inlineStr">
        <is>
          <t>E. Nakamura</t>
        </is>
      </c>
      <c r="F17" s="20" t="n">
        <v>56000</v>
      </c>
      <c r="G17" s="34" t="inlineStr">
        <is>
          <t>Ramped deal, year one</t>
        </is>
      </c>
    </row>
    <row r="18">
      <c r="A18" s="39" t="inlineStr">
        <is>
          <t>2024-05-04</t>
        </is>
      </c>
      <c r="B18" s="18" t="inlineStr">
        <is>
          <t>AMER West</t>
        </is>
      </c>
      <c r="C18" s="18" t="inlineStr">
        <is>
          <t>Alerts add-on</t>
        </is>
      </c>
      <c r="D18" s="18" t="inlineStr">
        <is>
          <t>Enterprise</t>
        </is>
      </c>
      <c r="E18" s="18" t="inlineStr">
        <is>
          <t>C. Marín</t>
        </is>
      </c>
      <c r="F18" s="20" t="n">
        <v>58500</v>
      </c>
      <c r="G18" s="34" t="inlineStr">
        <is>
          <t>Co-term with parent</t>
        </is>
      </c>
    </row>
    <row r="19">
      <c r="A19" s="39" t="inlineStr">
        <is>
          <t>2024-05-11</t>
        </is>
      </c>
      <c r="B19" s="18" t="inlineStr">
        <is>
          <t>AMER West</t>
        </is>
      </c>
      <c r="C19" s="18" t="inlineStr">
        <is>
          <t>Signal Core</t>
        </is>
      </c>
      <c r="D19" s="18" t="inlineStr">
        <is>
          <t>Mid-market</t>
        </is>
      </c>
      <c r="E19" s="18" t="inlineStr">
        <is>
          <t>B. Lindqvist</t>
        </is>
      </c>
      <c r="F19" s="20" t="n">
        <v>19800</v>
      </c>
      <c r="G19" s="34" t="inlineStr">
        <is>
          <t>Competitive displacement</t>
        </is>
      </c>
    </row>
    <row r="20">
      <c r="A20" s="39" t="inlineStr">
        <is>
          <t>2024-05-18</t>
        </is>
      </c>
      <c r="B20" s="18" t="inlineStr">
        <is>
          <t>AMER East</t>
        </is>
      </c>
      <c r="C20" s="18" t="inlineStr">
        <is>
          <t>Embedded Reports</t>
        </is>
      </c>
      <c r="D20" s="18" t="inlineStr">
        <is>
          <t>Enterprise</t>
        </is>
      </c>
      <c r="E20" s="18" t="inlineStr">
        <is>
          <t>E. Nakamura</t>
        </is>
      </c>
      <c r="F20" s="20" t="n">
        <v>54000</v>
      </c>
      <c r="G20" s="34" t="inlineStr">
        <is>
          <t>Competitive displacement</t>
        </is>
      </c>
    </row>
    <row r="21">
      <c r="A21" s="39" t="inlineStr">
        <is>
          <t>2024-05-25</t>
        </is>
      </c>
      <c r="B21" s="18" t="inlineStr">
        <is>
          <t>LATAM</t>
        </is>
      </c>
      <c r="C21" s="18" t="inlineStr">
        <is>
          <t>Warehouse Connect</t>
        </is>
      </c>
      <c r="D21" s="18" t="inlineStr">
        <is>
          <t>Enterprise</t>
        </is>
      </c>
      <c r="E21" s="18" t="inlineStr">
        <is>
          <t>E. Nakamura</t>
        </is>
      </c>
      <c r="F21" s="20" t="n">
        <v>75600</v>
      </c>
      <c r="G21" s="34" t="inlineStr">
        <is>
          <t>Partner-sourced</t>
        </is>
      </c>
    </row>
    <row r="22">
      <c r="A22" s="39" t="inlineStr">
        <is>
          <t>2024-05-01</t>
        </is>
      </c>
      <c r="B22" s="18" t="inlineStr">
        <is>
          <t>LATAM</t>
        </is>
      </c>
      <c r="C22" s="18" t="inlineStr">
        <is>
          <t>Embedded Reports</t>
        </is>
      </c>
      <c r="D22" s="18" t="inlineStr">
        <is>
          <t>Mid-market</t>
        </is>
      </c>
      <c r="E22" s="18" t="inlineStr">
        <is>
          <t>F. Duarte</t>
        </is>
      </c>
      <c r="F22" s="20" t="n">
        <v>55600</v>
      </c>
      <c r="G22" s="34" t="inlineStr">
        <is>
          <t>Co-term with parent</t>
        </is>
      </c>
    </row>
    <row r="23">
      <c r="A23" s="39" t="inlineStr">
        <is>
          <t>2024-05-08</t>
        </is>
      </c>
      <c r="B23" s="18" t="inlineStr">
        <is>
          <t>APAC</t>
        </is>
      </c>
      <c r="C23" s="18" t="inlineStr">
        <is>
          <t>Signal Pro</t>
        </is>
      </c>
      <c r="D23" s="18" t="inlineStr">
        <is>
          <t>Mid-market</t>
        </is>
      </c>
      <c r="E23" s="18" t="inlineStr">
        <is>
          <t>F. Duarte</t>
        </is>
      </c>
      <c r="F23" s="20" t="n">
        <v>61500</v>
      </c>
      <c r="G23" s="34" t="inlineStr">
        <is>
          <t>Renewal uplift 7%</t>
        </is>
      </c>
    </row>
    <row r="24">
      <c r="A24" s="39" t="inlineStr">
        <is>
          <t>2024-05-15</t>
        </is>
      </c>
      <c r="B24" s="18" t="inlineStr">
        <is>
          <t>AMER West</t>
        </is>
      </c>
      <c r="C24" s="18" t="inlineStr">
        <is>
          <t>Signal Core</t>
        </is>
      </c>
      <c r="D24" s="18" t="inlineStr">
        <is>
          <t>Mid-market</t>
        </is>
      </c>
      <c r="E24" s="18" t="inlineStr">
        <is>
          <t>G. Halloran</t>
        </is>
      </c>
      <c r="F24" s="20" t="n">
        <v>38700</v>
      </c>
      <c r="G24" s="34" t="inlineStr">
        <is>
          <t>Competitive displacement</t>
        </is>
      </c>
    </row>
    <row r="25">
      <c r="A25" s="39" t="inlineStr">
        <is>
          <t>2024-05-22</t>
        </is>
      </c>
      <c r="B25" s="18" t="inlineStr">
        <is>
          <t>LATAM</t>
        </is>
      </c>
      <c r="C25" s="18" t="inlineStr">
        <is>
          <t>Alerts add-on</t>
        </is>
      </c>
      <c r="D25" s="18" t="inlineStr">
        <is>
          <t>Mid-market</t>
        </is>
      </c>
      <c r="E25" s="18" t="inlineStr">
        <is>
          <t>K. Sørensen</t>
        </is>
      </c>
      <c r="F25" s="20" t="n">
        <v>34200</v>
      </c>
      <c r="G25" s="34" t="inlineStr">
        <is>
          <t>Competitive displacement</t>
        </is>
      </c>
    </row>
    <row r="26">
      <c r="A26" s="39" t="inlineStr">
        <is>
          <t>2024-05-29</t>
        </is>
      </c>
      <c r="B26" s="18" t="inlineStr">
        <is>
          <t>AMER East</t>
        </is>
      </c>
      <c r="C26" s="18" t="inlineStr">
        <is>
          <t>Embedded Reports</t>
        </is>
      </c>
      <c r="D26" s="18" t="inlineStr">
        <is>
          <t>SMB</t>
        </is>
      </c>
      <c r="E26" s="18" t="inlineStr">
        <is>
          <t>C. Marín</t>
        </is>
      </c>
      <c r="F26" s="20" t="n">
        <v>77800</v>
      </c>
      <c r="G26" s="34" t="inlineStr">
        <is>
          <t>Pilot converted</t>
        </is>
      </c>
    </row>
    <row r="27">
      <c r="A27" s="39" t="inlineStr">
        <is>
          <t>2024-05-05</t>
        </is>
      </c>
      <c r="B27" s="18" t="inlineStr">
        <is>
          <t>EMEA</t>
        </is>
      </c>
      <c r="C27" s="18" t="inlineStr">
        <is>
          <t>Signal Pro</t>
        </is>
      </c>
      <c r="D27" s="18" t="inlineStr">
        <is>
          <t>SMB</t>
        </is>
      </c>
      <c r="E27" s="18" t="inlineStr">
        <is>
          <t>D. Chatterjee</t>
        </is>
      </c>
      <c r="F27" s="20" t="n">
        <v>80100</v>
      </c>
      <c r="G27" s="34" t="inlineStr">
        <is>
          <t>Standard list price</t>
        </is>
      </c>
    </row>
    <row r="28">
      <c r="A28" s="39" t="inlineStr">
        <is>
          <t>2024-05-12</t>
        </is>
      </c>
      <c r="B28" s="18" t="inlineStr">
        <is>
          <t>AMER East</t>
        </is>
      </c>
      <c r="C28" s="18" t="inlineStr">
        <is>
          <t>Embedded Reports</t>
        </is>
      </c>
      <c r="D28" s="18" t="inlineStr">
        <is>
          <t>SMB</t>
        </is>
      </c>
      <c r="E28" s="18" t="inlineStr">
        <is>
          <t>D. Chatterjee</t>
        </is>
      </c>
      <c r="F28" s="20" t="n">
        <v>8400</v>
      </c>
      <c r="G28" s="34" t="inlineStr">
        <is>
          <t>Co-term with parent</t>
        </is>
      </c>
    </row>
    <row r="29">
      <c r="A29" s="39" t="inlineStr">
        <is>
          <t>2024-05-19</t>
        </is>
      </c>
      <c r="B29" s="18" t="inlineStr">
        <is>
          <t>AMER West</t>
        </is>
      </c>
      <c r="C29" s="18" t="inlineStr">
        <is>
          <t>Signal Core</t>
        </is>
      </c>
      <c r="D29" s="18" t="inlineStr">
        <is>
          <t>Mid-market</t>
        </is>
      </c>
      <c r="E29" s="18" t="inlineStr">
        <is>
          <t>A. Okafor</t>
        </is>
      </c>
      <c r="F29" s="20" t="n">
        <v>48200</v>
      </c>
      <c r="G29" s="34" t="inlineStr">
        <is>
          <t>Pilot converted</t>
        </is>
      </c>
    </row>
    <row r="30">
      <c r="A30" s="39" t="inlineStr">
        <is>
          <t>2024-05-26</t>
        </is>
      </c>
      <c r="B30" s="18" t="inlineStr">
        <is>
          <t>AMER West</t>
        </is>
      </c>
      <c r="C30" s="18" t="inlineStr">
        <is>
          <t>Alerts add-on</t>
        </is>
      </c>
      <c r="D30" s="18" t="inlineStr">
        <is>
          <t>Mid-market</t>
        </is>
      </c>
      <c r="E30" s="18" t="inlineStr">
        <is>
          <t>B. Lindqvist</t>
        </is>
      </c>
      <c r="F30" s="20" t="n">
        <v>73200</v>
      </c>
      <c r="G30" s="34" t="inlineStr">
        <is>
          <t>Co-term with parent</t>
        </is>
      </c>
    </row>
    <row r="31">
      <c r="A31" s="39" t="inlineStr">
        <is>
          <t>2024-05-02</t>
        </is>
      </c>
      <c r="B31" s="18" t="inlineStr">
        <is>
          <t>AMER East</t>
        </is>
      </c>
      <c r="C31" s="18" t="inlineStr">
        <is>
          <t>Signal Core</t>
        </is>
      </c>
      <c r="D31" s="18" t="inlineStr">
        <is>
          <t>SMB</t>
        </is>
      </c>
      <c r="E31" s="18" t="inlineStr">
        <is>
          <t>A. Okafor</t>
        </is>
      </c>
      <c r="F31" s="20" t="n">
        <v>70000</v>
      </c>
      <c r="G31" s="34" t="inlineStr">
        <is>
          <t>Competitive displacement</t>
        </is>
      </c>
    </row>
    <row r="32">
      <c r="A32" s="39" t="inlineStr">
        <is>
          <t>2024-05-09</t>
        </is>
      </c>
      <c r="B32" s="18" t="inlineStr">
        <is>
          <t>EMEA</t>
        </is>
      </c>
      <c r="C32" s="18" t="inlineStr">
        <is>
          <t>Signal Pro</t>
        </is>
      </c>
      <c r="D32" s="18" t="inlineStr">
        <is>
          <t>SMB</t>
        </is>
      </c>
      <c r="E32" s="18" t="inlineStr">
        <is>
          <t>D. Chatterjee</t>
        </is>
      </c>
      <c r="F32" s="20" t="n">
        <v>61700</v>
      </c>
      <c r="G32" s="34" t="inlineStr">
        <is>
          <t>Renewal uplift 7%</t>
        </is>
      </c>
    </row>
    <row r="33">
      <c r="A33" s="39" t="inlineStr">
        <is>
          <t>2024-05-16</t>
        </is>
      </c>
      <c r="B33" s="18" t="inlineStr">
        <is>
          <t>LATAM</t>
        </is>
      </c>
      <c r="C33" s="18" t="inlineStr">
        <is>
          <t>Signal Core</t>
        </is>
      </c>
      <c r="D33" s="18" t="inlineStr">
        <is>
          <t>SMB</t>
        </is>
      </c>
      <c r="E33" s="18" t="inlineStr">
        <is>
          <t>C. Marín</t>
        </is>
      </c>
      <c r="F33" s="20" t="n">
        <v>32700</v>
      </c>
      <c r="G33" s="34" t="inlineStr">
        <is>
          <t>Partner-sourced</t>
        </is>
      </c>
    </row>
    <row r="34">
      <c r="A34" s="39" t="inlineStr">
        <is>
          <t>2024-05-23</t>
        </is>
      </c>
      <c r="B34" s="18" t="inlineStr">
        <is>
          <t>LATAM</t>
        </is>
      </c>
      <c r="C34" s="18" t="inlineStr">
        <is>
          <t>Embedded Reports</t>
        </is>
      </c>
      <c r="D34" s="18" t="inlineStr">
        <is>
          <t>SMB</t>
        </is>
      </c>
      <c r="E34" s="18" t="inlineStr">
        <is>
          <t>E. Nakamura</t>
        </is>
      </c>
      <c r="F34" s="20" t="n">
        <v>215700</v>
      </c>
      <c r="G34" s="34" t="inlineStr">
        <is>
          <t>Pilot converted</t>
        </is>
      </c>
    </row>
    <row r="35">
      <c r="A35" s="39" t="inlineStr">
        <is>
          <t>2024-05-30</t>
        </is>
      </c>
      <c r="B35" s="18" t="inlineStr">
        <is>
          <t>AMER East</t>
        </is>
      </c>
      <c r="C35" s="18" t="inlineStr">
        <is>
          <t>Signal Core</t>
        </is>
      </c>
      <c r="D35" s="18" t="inlineStr">
        <is>
          <t>SMB</t>
        </is>
      </c>
      <c r="E35" s="18" t="inlineStr">
        <is>
          <t>G. Halloran</t>
        </is>
      </c>
      <c r="F35" s="20" t="n">
        <v>14800</v>
      </c>
      <c r="G35" s="34" t="inlineStr">
        <is>
          <t>Renewal uplift 7%</t>
        </is>
      </c>
    </row>
    <row r="36">
      <c r="A36" s="39" t="inlineStr">
        <is>
          <t>2024-05-06</t>
        </is>
      </c>
      <c r="B36" s="18" t="inlineStr">
        <is>
          <t>LATAM</t>
        </is>
      </c>
      <c r="C36" s="18" t="inlineStr">
        <is>
          <t>Signal Pro</t>
        </is>
      </c>
      <c r="D36" s="18" t="inlineStr">
        <is>
          <t>Mid-market</t>
        </is>
      </c>
      <c r="E36" s="18" t="inlineStr">
        <is>
          <t>E. Nakamura</t>
        </is>
      </c>
      <c r="F36" s="20" t="n">
        <v>13600</v>
      </c>
      <c r="G36" s="34" t="inlineStr">
        <is>
          <t>Co-term with parent</t>
        </is>
      </c>
    </row>
    <row r="37">
      <c r="A37" s="39" t="inlineStr">
        <is>
          <t>2024-05-13</t>
        </is>
      </c>
      <c r="B37" s="18" t="inlineStr">
        <is>
          <t>EMEA</t>
        </is>
      </c>
      <c r="C37" s="18" t="inlineStr">
        <is>
          <t>Warehouse Connect</t>
        </is>
      </c>
      <c r="D37" s="18" t="inlineStr">
        <is>
          <t>Enterprise</t>
        </is>
      </c>
      <c r="E37" s="18" t="inlineStr">
        <is>
          <t>J. Adeyemi</t>
        </is>
      </c>
      <c r="F37" s="20" t="n">
        <v>49600</v>
      </c>
      <c r="G37" s="34" t="inlineStr">
        <is>
          <t>Ramped deal, year one</t>
        </is>
      </c>
    </row>
    <row r="38">
      <c r="A38" s="39" t="inlineStr">
        <is>
          <t>2024-05-20</t>
        </is>
      </c>
      <c r="B38" s="18" t="inlineStr">
        <is>
          <t>LATAM</t>
        </is>
      </c>
      <c r="C38" s="18" t="inlineStr">
        <is>
          <t>Embedded Reports</t>
        </is>
      </c>
      <c r="D38" s="18" t="inlineStr">
        <is>
          <t>Enterprise</t>
        </is>
      </c>
      <c r="E38" s="18" t="inlineStr">
        <is>
          <t>B. Lindqvist</t>
        </is>
      </c>
      <c r="F38" s="20" t="n">
        <v>25100</v>
      </c>
      <c r="G38" s="34" t="inlineStr">
        <is>
          <t>Pilot converted</t>
        </is>
      </c>
    </row>
    <row r="39">
      <c r="A39" s="39" t="inlineStr">
        <is>
          <t>2024-05-27</t>
        </is>
      </c>
      <c r="B39" s="18" t="inlineStr">
        <is>
          <t>AMER West</t>
        </is>
      </c>
      <c r="C39" s="18" t="inlineStr">
        <is>
          <t>Alerts add-on</t>
        </is>
      </c>
      <c r="D39" s="18" t="inlineStr">
        <is>
          <t>Mid-market</t>
        </is>
      </c>
      <c r="E39" s="18" t="inlineStr">
        <is>
          <t>F. Duarte</t>
        </is>
      </c>
      <c r="F39" s="20" t="n">
        <v>29000</v>
      </c>
      <c r="G39" s="34" t="inlineStr">
        <is>
          <t>Renewal uplift 7%</t>
        </is>
      </c>
    </row>
    <row r="40">
      <c r="A40" s="39" t="inlineStr">
        <is>
          <t>2024-05-03</t>
        </is>
      </c>
      <c r="B40" s="18" t="inlineStr">
        <is>
          <t>AMER West</t>
        </is>
      </c>
      <c r="C40" s="18" t="inlineStr">
        <is>
          <t>Alerts add-on</t>
        </is>
      </c>
      <c r="D40" s="18" t="inlineStr">
        <is>
          <t>Mid-market</t>
        </is>
      </c>
      <c r="E40" s="18" t="inlineStr">
        <is>
          <t>H. Vasquez</t>
        </is>
      </c>
      <c r="F40" s="20" t="n">
        <v>20200</v>
      </c>
      <c r="G40" s="34" t="inlineStr">
        <is>
          <t>Standard list price</t>
        </is>
      </c>
    </row>
    <row r="41">
      <c r="A41" s="39" t="inlineStr">
        <is>
          <t>2024-05-10</t>
        </is>
      </c>
      <c r="B41" s="18" t="inlineStr">
        <is>
          <t>EMEA</t>
        </is>
      </c>
      <c r="C41" s="18" t="inlineStr">
        <is>
          <t>Warehouse Connect</t>
        </is>
      </c>
      <c r="D41" s="18" t="inlineStr">
        <is>
          <t>Enterprise</t>
        </is>
      </c>
      <c r="E41" s="18" t="inlineStr">
        <is>
          <t>E. Nakamura</t>
        </is>
      </c>
      <c r="F41" s="20" t="n">
        <v>47100</v>
      </c>
      <c r="G41" s="34" t="inlineStr">
        <is>
          <t>Renewal uplift 7%</t>
        </is>
      </c>
    </row>
    <row r="42">
      <c r="A42" s="39" t="inlineStr">
        <is>
          <t>2024-05-17</t>
        </is>
      </c>
      <c r="B42" s="18" t="inlineStr">
        <is>
          <t>EMEA</t>
        </is>
      </c>
      <c r="C42" s="18" t="inlineStr">
        <is>
          <t>Warehouse Connect</t>
        </is>
      </c>
      <c r="D42" s="18" t="inlineStr">
        <is>
          <t>Enterprise</t>
        </is>
      </c>
      <c r="E42" s="18" t="inlineStr">
        <is>
          <t>F. Duarte</t>
        </is>
      </c>
      <c r="F42" s="20" t="n">
        <v>5000</v>
      </c>
      <c r="G42" s="34" t="inlineStr">
        <is>
          <t>Pilot converted</t>
        </is>
      </c>
    </row>
    <row r="43">
      <c r="A43" s="39" t="inlineStr">
        <is>
          <t>2024-05-24</t>
        </is>
      </c>
      <c r="B43" s="18" t="inlineStr">
        <is>
          <t>AMER West</t>
        </is>
      </c>
      <c r="C43" s="18" t="inlineStr">
        <is>
          <t>Embedded Reports</t>
        </is>
      </c>
      <c r="D43" s="18" t="inlineStr">
        <is>
          <t>Enterprise</t>
        </is>
      </c>
      <c r="E43" s="18" t="inlineStr">
        <is>
          <t>B. Lindqvist</t>
        </is>
      </c>
      <c r="F43" s="20" t="n">
        <v>8700</v>
      </c>
      <c r="G43" s="34" t="inlineStr">
        <is>
          <t>Pilot converted</t>
        </is>
      </c>
    </row>
    <row r="44">
      <c r="A44" s="39" t="inlineStr">
        <is>
          <t>2024-05-31</t>
        </is>
      </c>
      <c r="B44" s="18" t="inlineStr">
        <is>
          <t>APAC</t>
        </is>
      </c>
      <c r="C44" s="18" t="inlineStr">
        <is>
          <t>Signal Core</t>
        </is>
      </c>
      <c r="D44" s="18" t="inlineStr">
        <is>
          <t>Mid-market</t>
        </is>
      </c>
      <c r="E44" s="18" t="inlineStr">
        <is>
          <t>A. Okafor</t>
        </is>
      </c>
      <c r="F44" s="20" t="n">
        <v>13400</v>
      </c>
      <c r="G44" s="34" t="inlineStr">
        <is>
          <t>Pilot converted</t>
        </is>
      </c>
    </row>
    <row r="45">
      <c r="A45" s="39" t="inlineStr">
        <is>
          <t>2024-05-07</t>
        </is>
      </c>
      <c r="B45" s="18" t="inlineStr">
        <is>
          <t>LATAM</t>
        </is>
      </c>
      <c r="C45" s="18" t="inlineStr">
        <is>
          <t>Warehouse Connect</t>
        </is>
      </c>
      <c r="D45" s="18" t="inlineStr">
        <is>
          <t>SMB</t>
        </is>
      </c>
      <c r="E45" s="18" t="inlineStr">
        <is>
          <t>E. Nakamura</t>
        </is>
      </c>
      <c r="F45" s="20" t="n">
        <v>108400</v>
      </c>
      <c r="G45" s="34" t="inlineStr">
        <is>
          <t>Pilot converted</t>
        </is>
      </c>
    </row>
    <row r="46">
      <c r="A46" s="39" t="inlineStr">
        <is>
          <t>2024-05-14</t>
        </is>
      </c>
      <c r="B46" s="18" t="inlineStr">
        <is>
          <t>AMER West</t>
        </is>
      </c>
      <c r="C46" s="18" t="inlineStr">
        <is>
          <t>Signal Core</t>
        </is>
      </c>
      <c r="D46" s="18" t="inlineStr">
        <is>
          <t>Enterprise</t>
        </is>
      </c>
      <c r="E46" s="18" t="inlineStr">
        <is>
          <t>G. Halloran</t>
        </is>
      </c>
      <c r="F46" s="20" t="n">
        <v>44300</v>
      </c>
      <c r="G46" s="34" t="inlineStr">
        <is>
          <t>Competitive displacement</t>
        </is>
      </c>
    </row>
    <row r="47">
      <c r="A47" s="39" t="inlineStr">
        <is>
          <t>2024-05-21</t>
        </is>
      </c>
      <c r="B47" s="18" t="inlineStr">
        <is>
          <t>LATAM</t>
        </is>
      </c>
      <c r="C47" s="18" t="inlineStr">
        <is>
          <t>Signal Pro</t>
        </is>
      </c>
      <c r="D47" s="18" t="inlineStr">
        <is>
          <t>Mid-market</t>
        </is>
      </c>
      <c r="E47" s="18" t="inlineStr">
        <is>
          <t>H. Vasquez</t>
        </is>
      </c>
      <c r="F47" s="20" t="n">
        <v>8000</v>
      </c>
      <c r="G47" s="34" t="inlineStr">
        <is>
          <t>Co-term with parent</t>
        </is>
      </c>
    </row>
    <row r="48">
      <c r="A48" s="39" t="inlineStr">
        <is>
          <t>2024-05-28</t>
        </is>
      </c>
      <c r="B48" s="18" t="inlineStr">
        <is>
          <t>LATAM</t>
        </is>
      </c>
      <c r="C48" s="18" t="inlineStr">
        <is>
          <t>Signal Pro</t>
        </is>
      </c>
      <c r="D48" s="18" t="inlineStr">
        <is>
          <t>Enterprise</t>
        </is>
      </c>
      <c r="E48" s="18" t="inlineStr">
        <is>
          <t>H. Vasquez</t>
        </is>
      </c>
      <c r="F48" s="20" t="n">
        <v>118800</v>
      </c>
      <c r="G48" s="34" t="inlineStr">
        <is>
          <t>Pilot converted</t>
        </is>
      </c>
    </row>
    <row r="49">
      <c r="A49" s="39" t="inlineStr">
        <is>
          <t>2024-05-04</t>
        </is>
      </c>
      <c r="B49" s="18" t="inlineStr">
        <is>
          <t>APAC</t>
        </is>
      </c>
      <c r="C49" s="18" t="inlineStr">
        <is>
          <t>Embedded Reports</t>
        </is>
      </c>
      <c r="D49" s="18" t="inlineStr">
        <is>
          <t>Mid-market</t>
        </is>
      </c>
      <c r="E49" s="18" t="inlineStr">
        <is>
          <t>E. Nakamura</t>
        </is>
      </c>
      <c r="F49" s="20" t="n">
        <v>43500</v>
      </c>
      <c r="G49" s="34" t="inlineStr">
        <is>
          <t>Pilot converted</t>
        </is>
      </c>
    </row>
    <row r="50">
      <c r="A50" s="39" t="inlineStr">
        <is>
          <t>2024-05-11</t>
        </is>
      </c>
      <c r="B50" s="18" t="inlineStr">
        <is>
          <t>LATAM</t>
        </is>
      </c>
      <c r="C50" s="18" t="inlineStr">
        <is>
          <t>Embedded Reports</t>
        </is>
      </c>
      <c r="D50" s="18" t="inlineStr">
        <is>
          <t>SMB</t>
        </is>
      </c>
      <c r="E50" s="18" t="inlineStr">
        <is>
          <t>A. Okafor</t>
        </is>
      </c>
      <c r="F50" s="20" t="n">
        <v>126800</v>
      </c>
      <c r="G50" s="34" t="inlineStr">
        <is>
          <t>Standard list price</t>
        </is>
      </c>
    </row>
    <row r="51">
      <c r="A51" s="39" t="inlineStr">
        <is>
          <t>2024-05-18</t>
        </is>
      </c>
      <c r="B51" s="18" t="inlineStr">
        <is>
          <t>AMER West</t>
        </is>
      </c>
      <c r="C51" s="18" t="inlineStr">
        <is>
          <t>Alerts add-on</t>
        </is>
      </c>
      <c r="D51" s="18" t="inlineStr">
        <is>
          <t>Mid-market</t>
        </is>
      </c>
      <c r="E51" s="18" t="inlineStr">
        <is>
          <t>F. Duarte</t>
        </is>
      </c>
      <c r="F51" s="20" t="n">
        <v>61800</v>
      </c>
      <c r="G51" s="34" t="inlineStr">
        <is>
          <t>Partner-sourced</t>
        </is>
      </c>
    </row>
    <row r="52">
      <c r="A52" s="39" t="inlineStr">
        <is>
          <t>2024-05-25</t>
        </is>
      </c>
      <c r="B52" s="18" t="inlineStr">
        <is>
          <t>AMER West</t>
        </is>
      </c>
      <c r="C52" s="18" t="inlineStr">
        <is>
          <t>Alerts add-on</t>
        </is>
      </c>
      <c r="D52" s="18" t="inlineStr">
        <is>
          <t>SMB</t>
        </is>
      </c>
      <c r="E52" s="18" t="inlineStr">
        <is>
          <t>K. Sørensen</t>
        </is>
      </c>
      <c r="F52" s="20" t="n">
        <v>11000</v>
      </c>
      <c r="G52" s="34" t="inlineStr">
        <is>
          <t>Multi-year prepay</t>
        </is>
      </c>
    </row>
    <row r="53">
      <c r="A53" s="39" t="inlineStr">
        <is>
          <t>2024-05-01</t>
        </is>
      </c>
      <c r="B53" s="18" t="inlineStr">
        <is>
          <t>EMEA</t>
        </is>
      </c>
      <c r="C53" s="18" t="inlineStr">
        <is>
          <t>Alerts add-on</t>
        </is>
      </c>
      <c r="D53" s="18" t="inlineStr">
        <is>
          <t>Enterprise</t>
        </is>
      </c>
      <c r="E53" s="18" t="inlineStr">
        <is>
          <t>A. Okafor</t>
        </is>
      </c>
      <c r="F53" s="20" t="n">
        <v>135900</v>
      </c>
      <c r="G53" s="34" t="inlineStr">
        <is>
          <t>Competitive displacement</t>
        </is>
      </c>
    </row>
    <row r="54">
      <c r="A54" s="39" t="inlineStr">
        <is>
          <t>2024-05-08</t>
        </is>
      </c>
      <c r="B54" s="18" t="inlineStr">
        <is>
          <t>AMER East</t>
        </is>
      </c>
      <c r="C54" s="18" t="inlineStr">
        <is>
          <t>Signal Core</t>
        </is>
      </c>
      <c r="D54" s="18" t="inlineStr">
        <is>
          <t>Enterprise</t>
        </is>
      </c>
      <c r="E54" s="18" t="inlineStr">
        <is>
          <t>K. Sørensen</t>
        </is>
      </c>
      <c r="F54" s="20" t="n">
        <v>24700</v>
      </c>
      <c r="G54" s="34" t="inlineStr">
        <is>
          <t>Standard list price</t>
        </is>
      </c>
    </row>
    <row r="55">
      <c r="A55" s="39" t="inlineStr">
        <is>
          <t>2024-05-15</t>
        </is>
      </c>
      <c r="B55" s="18" t="inlineStr">
        <is>
          <t>APAC</t>
        </is>
      </c>
      <c r="C55" s="18" t="inlineStr">
        <is>
          <t>Alerts add-on</t>
        </is>
      </c>
      <c r="D55" s="18" t="inlineStr">
        <is>
          <t>SMB</t>
        </is>
      </c>
      <c r="E55" s="18" t="inlineStr">
        <is>
          <t>F. Duarte</t>
        </is>
      </c>
      <c r="F55" s="20" t="n">
        <v>15700</v>
      </c>
      <c r="G55" s="34" t="inlineStr">
        <is>
          <t>Pilot converted</t>
        </is>
      </c>
    </row>
    <row r="56">
      <c r="A56" s="39" t="inlineStr">
        <is>
          <t>2024-05-22</t>
        </is>
      </c>
      <c r="B56" s="18" t="inlineStr">
        <is>
          <t>AMER East</t>
        </is>
      </c>
      <c r="C56" s="18" t="inlineStr">
        <is>
          <t>Signal Pro</t>
        </is>
      </c>
      <c r="D56" s="18" t="inlineStr">
        <is>
          <t>SMB</t>
        </is>
      </c>
      <c r="E56" s="18" t="inlineStr">
        <is>
          <t>E. Nakamura</t>
        </is>
      </c>
      <c r="F56" s="20" t="n">
        <v>10800</v>
      </c>
      <c r="G56" s="34" t="inlineStr">
        <is>
          <t>Pilot converted</t>
        </is>
      </c>
    </row>
    <row r="57">
      <c r="A57" s="39" t="inlineStr">
        <is>
          <t>2024-05-29</t>
        </is>
      </c>
      <c r="B57" s="18" t="inlineStr">
        <is>
          <t>AMER East</t>
        </is>
      </c>
      <c r="C57" s="18" t="inlineStr">
        <is>
          <t>Warehouse Connect</t>
        </is>
      </c>
      <c r="D57" s="18" t="inlineStr">
        <is>
          <t>Mid-market</t>
        </is>
      </c>
      <c r="E57" s="18" t="inlineStr">
        <is>
          <t>H. Vasquez</t>
        </is>
      </c>
      <c r="F57" s="20" t="n">
        <v>151500</v>
      </c>
      <c r="G57" s="34" t="inlineStr">
        <is>
          <t>Partner-sourced</t>
        </is>
      </c>
    </row>
    <row r="58">
      <c r="A58" s="39" t="inlineStr">
        <is>
          <t>2024-05-05</t>
        </is>
      </c>
      <c r="B58" s="18" t="inlineStr">
        <is>
          <t>APAC</t>
        </is>
      </c>
      <c r="C58" s="18" t="inlineStr">
        <is>
          <t>Alerts add-on</t>
        </is>
      </c>
      <c r="D58" s="18" t="inlineStr">
        <is>
          <t>Enterprise</t>
        </is>
      </c>
      <c r="E58" s="18" t="inlineStr">
        <is>
          <t>E. Nakamura</t>
        </is>
      </c>
      <c r="F58" s="20" t="n">
        <v>96600</v>
      </c>
      <c r="G58" s="34" t="inlineStr">
        <is>
          <t>Partner-sourced</t>
        </is>
      </c>
    </row>
    <row r="59">
      <c r="A59" s="39" t="inlineStr">
        <is>
          <t>2024-05-12</t>
        </is>
      </c>
      <c r="B59" s="18" t="inlineStr">
        <is>
          <t>LATAM</t>
        </is>
      </c>
      <c r="C59" s="18" t="inlineStr">
        <is>
          <t>Signal Core</t>
        </is>
      </c>
      <c r="D59" s="18" t="inlineStr">
        <is>
          <t>Enterprise</t>
        </is>
      </c>
      <c r="E59" s="18" t="inlineStr">
        <is>
          <t>G. Halloran</t>
        </is>
      </c>
      <c r="F59" s="20" t="n">
        <v>63200</v>
      </c>
      <c r="G59" s="34" t="inlineStr">
        <is>
          <t>Competitive displacement</t>
        </is>
      </c>
    </row>
    <row r="60">
      <c r="A60" s="39" t="inlineStr">
        <is>
          <t>2024-05-19</t>
        </is>
      </c>
      <c r="B60" s="18" t="inlineStr">
        <is>
          <t>APAC</t>
        </is>
      </c>
      <c r="C60" s="18" t="inlineStr">
        <is>
          <t>Embedded Reports</t>
        </is>
      </c>
      <c r="D60" s="18" t="inlineStr">
        <is>
          <t>Enterprise</t>
        </is>
      </c>
      <c r="E60" s="18" t="inlineStr">
        <is>
          <t>J. Adeyemi</t>
        </is>
      </c>
      <c r="F60" s="20" t="n">
        <v>71600</v>
      </c>
      <c r="G60" s="34" t="inlineStr">
        <is>
          <t>Multi-year prepay</t>
        </is>
      </c>
    </row>
    <row r="61">
      <c r="A61" s="39" t="inlineStr">
        <is>
          <t>2024-05-26</t>
        </is>
      </c>
      <c r="B61" s="18" t="inlineStr">
        <is>
          <t>APAC</t>
        </is>
      </c>
      <c r="C61" s="18" t="inlineStr">
        <is>
          <t>Embedded Reports</t>
        </is>
      </c>
      <c r="D61" s="18" t="inlineStr">
        <is>
          <t>SMB</t>
        </is>
      </c>
      <c r="E61" s="18" t="inlineStr">
        <is>
          <t>A. Okafor</t>
        </is>
      </c>
      <c r="F61" s="20" t="n">
        <v>79400</v>
      </c>
      <c r="G61" s="34" t="inlineStr">
        <is>
          <t>Renewal uplift 7%</t>
        </is>
      </c>
    </row>
    <row r="62">
      <c r="A62" s="39" t="inlineStr">
        <is>
          <t>2024-05-02</t>
        </is>
      </c>
      <c r="B62" s="18" t="inlineStr">
        <is>
          <t>APAC</t>
        </is>
      </c>
      <c r="C62" s="18" t="inlineStr">
        <is>
          <t>Signal Pro</t>
        </is>
      </c>
      <c r="D62" s="18" t="inlineStr">
        <is>
          <t>SMB</t>
        </is>
      </c>
      <c r="E62" s="18" t="inlineStr">
        <is>
          <t>H. Vasquez</t>
        </is>
      </c>
      <c r="F62" s="20" t="n">
        <v>55500</v>
      </c>
      <c r="G62" s="34" t="inlineStr">
        <is>
          <t>Co-term with parent</t>
        </is>
      </c>
    </row>
    <row r="63">
      <c r="A63" s="39" t="inlineStr">
        <is>
          <t>2024-05-09</t>
        </is>
      </c>
      <c r="B63" s="18" t="inlineStr">
        <is>
          <t>LATAM</t>
        </is>
      </c>
      <c r="C63" s="18" t="inlineStr">
        <is>
          <t>Embedded Reports</t>
        </is>
      </c>
      <c r="D63" s="18" t="inlineStr">
        <is>
          <t>Enterprise</t>
        </is>
      </c>
      <c r="E63" s="18" t="inlineStr">
        <is>
          <t>D. Chatterjee</t>
        </is>
      </c>
      <c r="F63" s="20" t="n">
        <v>31700</v>
      </c>
      <c r="G63" s="34" t="inlineStr">
        <is>
          <t>Co-term with parent</t>
        </is>
      </c>
    </row>
    <row r="64">
      <c r="A64" s="39" t="inlineStr">
        <is>
          <t>2024-05-16</t>
        </is>
      </c>
      <c r="B64" s="18" t="inlineStr">
        <is>
          <t>AMER East</t>
        </is>
      </c>
      <c r="C64" s="18" t="inlineStr">
        <is>
          <t>Signal Pro</t>
        </is>
      </c>
      <c r="D64" s="18" t="inlineStr">
        <is>
          <t>Mid-market</t>
        </is>
      </c>
      <c r="E64" s="18" t="inlineStr">
        <is>
          <t>H. Vasquez</t>
        </is>
      </c>
      <c r="F64" s="20" t="n">
        <v>21600</v>
      </c>
      <c r="G64" s="34" t="inlineStr">
        <is>
          <t>Co-term with parent</t>
        </is>
      </c>
    </row>
    <row r="65">
      <c r="A65" s="39" t="inlineStr">
        <is>
          <t>2024-05-23</t>
        </is>
      </c>
      <c r="B65" s="18" t="inlineStr">
        <is>
          <t>LATAM</t>
        </is>
      </c>
      <c r="C65" s="18" t="inlineStr">
        <is>
          <t>Signal Core</t>
        </is>
      </c>
      <c r="D65" s="18" t="inlineStr">
        <is>
          <t>Mid-market</t>
        </is>
      </c>
      <c r="E65" s="18" t="inlineStr">
        <is>
          <t>K. Sørensen</t>
        </is>
      </c>
      <c r="F65" s="20" t="n">
        <v>20500</v>
      </c>
      <c r="G65" s="34" t="inlineStr">
        <is>
          <t>Partner-sourced</t>
        </is>
      </c>
    </row>
    <row r="66">
      <c r="A66" s="39" t="inlineStr">
        <is>
          <t>2024-05-30</t>
        </is>
      </c>
      <c r="B66" s="18" t="inlineStr">
        <is>
          <t>EMEA</t>
        </is>
      </c>
      <c r="C66" s="18" t="inlineStr">
        <is>
          <t>Embedded Reports</t>
        </is>
      </c>
      <c r="D66" s="18" t="inlineStr">
        <is>
          <t>SMB</t>
        </is>
      </c>
      <c r="E66" s="18" t="inlineStr">
        <is>
          <t>F. Duarte</t>
        </is>
      </c>
      <c r="F66" s="20" t="n">
        <v>143400</v>
      </c>
      <c r="G66" s="34" t="inlineStr">
        <is>
          <t>Renewal uplift 7%</t>
        </is>
      </c>
    </row>
    <row r="67">
      <c r="A67" s="39" t="inlineStr">
        <is>
          <t>2024-05-06</t>
        </is>
      </c>
      <c r="B67" s="18" t="inlineStr">
        <is>
          <t>AMER East</t>
        </is>
      </c>
      <c r="C67" s="18" t="inlineStr">
        <is>
          <t>Alerts add-on</t>
        </is>
      </c>
      <c r="D67" s="18" t="inlineStr">
        <is>
          <t>Enterprise</t>
        </is>
      </c>
      <c r="E67" s="18" t="inlineStr">
        <is>
          <t>H. Vasquez</t>
        </is>
      </c>
      <c r="F67" s="20" t="n">
        <v>29700</v>
      </c>
      <c r="G67" s="34" t="inlineStr">
        <is>
          <t>Pilot converted</t>
        </is>
      </c>
    </row>
    <row r="68">
      <c r="A68" s="39" t="inlineStr">
        <is>
          <t>2024-05-13</t>
        </is>
      </c>
      <c r="B68" s="18" t="inlineStr">
        <is>
          <t>EMEA</t>
        </is>
      </c>
      <c r="C68" s="18" t="inlineStr">
        <is>
          <t>Alerts add-on</t>
        </is>
      </c>
      <c r="D68" s="18" t="inlineStr">
        <is>
          <t>SMB</t>
        </is>
      </c>
      <c r="E68" s="18" t="inlineStr">
        <is>
          <t>B. Lindqvist</t>
        </is>
      </c>
      <c r="F68" s="20" t="n">
        <v>191400</v>
      </c>
      <c r="G68" s="34" t="inlineStr">
        <is>
          <t>Partner-sourced</t>
        </is>
      </c>
    </row>
    <row r="69">
      <c r="A69" s="39" t="inlineStr">
        <is>
          <t>2024-05-20</t>
        </is>
      </c>
      <c r="B69" s="18" t="inlineStr">
        <is>
          <t>EMEA</t>
        </is>
      </c>
      <c r="C69" s="18" t="inlineStr">
        <is>
          <t>Alerts add-on</t>
        </is>
      </c>
      <c r="D69" s="18" t="inlineStr">
        <is>
          <t>Mid-market</t>
        </is>
      </c>
      <c r="E69" s="18" t="inlineStr">
        <is>
          <t>C. Marín</t>
        </is>
      </c>
      <c r="F69" s="20" t="n">
        <v>156600</v>
      </c>
      <c r="G69" s="34" t="inlineStr">
        <is>
          <t>Ramped deal, year one</t>
        </is>
      </c>
    </row>
    <row r="70">
      <c r="A70" s="39" t="inlineStr">
        <is>
          <t>2024-05-27</t>
        </is>
      </c>
      <c r="B70" s="18" t="inlineStr">
        <is>
          <t>AMER East</t>
        </is>
      </c>
      <c r="C70" s="18" t="inlineStr">
        <is>
          <t>Embedded Reports</t>
        </is>
      </c>
      <c r="D70" s="18" t="inlineStr">
        <is>
          <t>SMB</t>
        </is>
      </c>
      <c r="E70" s="18" t="inlineStr">
        <is>
          <t>C. Marín</t>
        </is>
      </c>
      <c r="F70" s="20" t="n">
        <v>27900</v>
      </c>
      <c r="G70" s="34" t="inlineStr">
        <is>
          <t>Co-term with parent</t>
        </is>
      </c>
    </row>
    <row r="71">
      <c r="A71" s="39" t="inlineStr">
        <is>
          <t>2024-05-03</t>
        </is>
      </c>
      <c r="B71" s="18" t="inlineStr">
        <is>
          <t>AMER West</t>
        </is>
      </c>
      <c r="C71" s="18" t="inlineStr">
        <is>
          <t>Alerts add-on</t>
        </is>
      </c>
      <c r="D71" s="18" t="inlineStr">
        <is>
          <t>Enterprise</t>
        </is>
      </c>
      <c r="E71" s="18" t="inlineStr">
        <is>
          <t>J. Adeyemi</t>
        </is>
      </c>
      <c r="F71" s="20" t="n">
        <v>118200</v>
      </c>
      <c r="G71" s="34" t="inlineStr">
        <is>
          <t>Multi-year prepay</t>
        </is>
      </c>
    </row>
    <row r="72">
      <c r="A72" s="39" t="inlineStr">
        <is>
          <t>2024-05-10</t>
        </is>
      </c>
      <c r="B72" s="18" t="inlineStr">
        <is>
          <t>AMER East</t>
        </is>
      </c>
      <c r="C72" s="18" t="inlineStr">
        <is>
          <t>Signal Core</t>
        </is>
      </c>
      <c r="D72" s="18" t="inlineStr">
        <is>
          <t>Enterprise</t>
        </is>
      </c>
      <c r="E72" s="18" t="inlineStr">
        <is>
          <t>J. Adeyemi</t>
        </is>
      </c>
      <c r="F72" s="20" t="n">
        <v>9400</v>
      </c>
      <c r="G72" s="34" t="inlineStr">
        <is>
          <t>Ramped deal, year one</t>
        </is>
      </c>
    </row>
    <row r="73">
      <c r="A73" s="39" t="inlineStr">
        <is>
          <t>2024-05-17</t>
        </is>
      </c>
      <c r="B73" s="18" t="inlineStr">
        <is>
          <t>AMER West</t>
        </is>
      </c>
      <c r="C73" s="18" t="inlineStr">
        <is>
          <t>Signal Pro</t>
        </is>
      </c>
      <c r="D73" s="18" t="inlineStr">
        <is>
          <t>Mid-market</t>
        </is>
      </c>
      <c r="E73" s="18" t="inlineStr">
        <is>
          <t>J. Adeyemi</t>
        </is>
      </c>
      <c r="F73" s="20" t="n">
        <v>12500</v>
      </c>
      <c r="G73" s="34" t="inlineStr">
        <is>
          <t>Partner-sourced</t>
        </is>
      </c>
    </row>
    <row r="74">
      <c r="A74" s="39" t="inlineStr">
        <is>
          <t>2024-05-24</t>
        </is>
      </c>
      <c r="B74" s="18" t="inlineStr">
        <is>
          <t>LATAM</t>
        </is>
      </c>
      <c r="C74" s="18" t="inlineStr">
        <is>
          <t>Alerts add-on</t>
        </is>
      </c>
      <c r="D74" s="18" t="inlineStr">
        <is>
          <t>Enterprise</t>
        </is>
      </c>
      <c r="E74" s="18" t="inlineStr">
        <is>
          <t>H. Vasquez</t>
        </is>
      </c>
      <c r="F74" s="20" t="n">
        <v>69900</v>
      </c>
      <c r="G74" s="34" t="inlineStr">
        <is>
          <t>Pilot converted</t>
        </is>
      </c>
    </row>
    <row r="75">
      <c r="A75" s="39" t="inlineStr">
        <is>
          <t>2024-05-31</t>
        </is>
      </c>
      <c r="B75" s="18" t="inlineStr">
        <is>
          <t>AMER East</t>
        </is>
      </c>
      <c r="C75" s="18" t="inlineStr">
        <is>
          <t>Warehouse Connect</t>
        </is>
      </c>
      <c r="D75" s="18" t="inlineStr">
        <is>
          <t>Mid-market</t>
        </is>
      </c>
      <c r="E75" s="18" t="inlineStr">
        <is>
          <t>K. Sørensen</t>
        </is>
      </c>
      <c r="F75" s="20" t="n">
        <v>123400</v>
      </c>
      <c r="G75" s="34" t="inlineStr">
        <is>
          <t>Competitive displacement</t>
        </is>
      </c>
    </row>
    <row r="76">
      <c r="A76" s="39" t="inlineStr">
        <is>
          <t>2024-05-07</t>
        </is>
      </c>
      <c r="B76" s="18" t="inlineStr">
        <is>
          <t>AMER East</t>
        </is>
      </c>
      <c r="C76" s="18" t="inlineStr">
        <is>
          <t>Embedded Reports</t>
        </is>
      </c>
      <c r="D76" s="18" t="inlineStr">
        <is>
          <t>SMB</t>
        </is>
      </c>
      <c r="E76" s="18" t="inlineStr">
        <is>
          <t>F. Duarte</t>
        </is>
      </c>
      <c r="F76" s="20" t="n">
        <v>125600</v>
      </c>
      <c r="G76" s="34" t="inlineStr">
        <is>
          <t>Multi-year prepay</t>
        </is>
      </c>
    </row>
    <row r="77">
      <c r="A77" s="39" t="inlineStr">
        <is>
          <t>2024-05-14</t>
        </is>
      </c>
      <c r="B77" s="18" t="inlineStr">
        <is>
          <t>APAC</t>
        </is>
      </c>
      <c r="C77" s="18" t="inlineStr">
        <is>
          <t>Signal Pro</t>
        </is>
      </c>
      <c r="D77" s="18" t="inlineStr">
        <is>
          <t>Enterprise</t>
        </is>
      </c>
      <c r="E77" s="18" t="inlineStr">
        <is>
          <t>J. Adeyemi</t>
        </is>
      </c>
      <c r="F77" s="20" t="n">
        <v>20500</v>
      </c>
      <c r="G77" s="34" t="inlineStr">
        <is>
          <t>Multi-year prepay</t>
        </is>
      </c>
    </row>
    <row r="78">
      <c r="A78" s="39" t="inlineStr">
        <is>
          <t>2024-05-21</t>
        </is>
      </c>
      <c r="B78" s="18" t="inlineStr">
        <is>
          <t>EMEA</t>
        </is>
      </c>
      <c r="C78" s="18" t="inlineStr">
        <is>
          <t>Signal Core</t>
        </is>
      </c>
      <c r="D78" s="18" t="inlineStr">
        <is>
          <t>Enterprise</t>
        </is>
      </c>
      <c r="E78" s="18" t="inlineStr">
        <is>
          <t>J. Adeyemi</t>
        </is>
      </c>
      <c r="F78" s="20" t="n">
        <v>88800</v>
      </c>
      <c r="G78" s="34" t="inlineStr">
        <is>
          <t>Renewal uplift 7%</t>
        </is>
      </c>
    </row>
    <row r="79">
      <c r="A79" s="39" t="inlineStr">
        <is>
          <t>2024-05-28</t>
        </is>
      </c>
      <c r="B79" s="18" t="inlineStr">
        <is>
          <t>AMER West</t>
        </is>
      </c>
      <c r="C79" s="18" t="inlineStr">
        <is>
          <t>Alerts add-on</t>
        </is>
      </c>
      <c r="D79" s="18" t="inlineStr">
        <is>
          <t>SMB</t>
        </is>
      </c>
      <c r="E79" s="18" t="inlineStr">
        <is>
          <t>B. Lindqvist</t>
        </is>
      </c>
      <c r="F79" s="20" t="n">
        <v>49800</v>
      </c>
      <c r="G79" s="34" t="inlineStr">
        <is>
          <t>Co-term with parent</t>
        </is>
      </c>
    </row>
    <row r="80">
      <c r="A80" s="39" t="inlineStr">
        <is>
          <t>2024-05-04</t>
        </is>
      </c>
      <c r="B80" s="18" t="inlineStr">
        <is>
          <t>APAC</t>
        </is>
      </c>
      <c r="C80" s="18" t="inlineStr">
        <is>
          <t>Warehouse Connect</t>
        </is>
      </c>
      <c r="D80" s="18" t="inlineStr">
        <is>
          <t>SMB</t>
        </is>
      </c>
      <c r="E80" s="18" t="inlineStr">
        <is>
          <t>E. Nakamura</t>
        </is>
      </c>
      <c r="F80" s="20" t="n">
        <v>186900</v>
      </c>
      <c r="G80" s="34" t="inlineStr">
        <is>
          <t>Pilot converted</t>
        </is>
      </c>
    </row>
    <row r="81">
      <c r="A81" s="39" t="inlineStr">
        <is>
          <t>2024-05-11</t>
        </is>
      </c>
      <c r="B81" s="18" t="inlineStr">
        <is>
          <t>LATAM</t>
        </is>
      </c>
      <c r="C81" s="18" t="inlineStr">
        <is>
          <t>Alerts add-on</t>
        </is>
      </c>
      <c r="D81" s="18" t="inlineStr">
        <is>
          <t>Enterprise</t>
        </is>
      </c>
      <c r="E81" s="18" t="inlineStr">
        <is>
          <t>B. Lindqvist</t>
        </is>
      </c>
      <c r="F81" s="20" t="n">
        <v>144000</v>
      </c>
      <c r="G81" s="34" t="inlineStr">
        <is>
          <t>Pilot converted</t>
        </is>
      </c>
    </row>
    <row r="82">
      <c r="A82" s="39" t="inlineStr">
        <is>
          <t>2024-05-18</t>
        </is>
      </c>
      <c r="B82" s="18" t="inlineStr">
        <is>
          <t>AMER West</t>
        </is>
      </c>
      <c r="C82" s="18" t="inlineStr">
        <is>
          <t>Signal Pro</t>
        </is>
      </c>
      <c r="D82" s="18" t="inlineStr">
        <is>
          <t>Mid-market</t>
        </is>
      </c>
      <c r="E82" s="18" t="inlineStr">
        <is>
          <t>C. Marín</t>
        </is>
      </c>
      <c r="F82" s="20" t="n">
        <v>13800</v>
      </c>
      <c r="G82" s="34" t="inlineStr">
        <is>
          <t>Competitive displacement</t>
        </is>
      </c>
    </row>
    <row r="83">
      <c r="A83" s="39" t="inlineStr">
        <is>
          <t>2024-05-25</t>
        </is>
      </c>
      <c r="B83" s="18" t="inlineStr">
        <is>
          <t>AMER West</t>
        </is>
      </c>
      <c r="C83" s="18" t="inlineStr">
        <is>
          <t>Warehouse Connect</t>
        </is>
      </c>
      <c r="D83" s="18" t="inlineStr">
        <is>
          <t>SMB</t>
        </is>
      </c>
      <c r="E83" s="18" t="inlineStr">
        <is>
          <t>C. Marín</t>
        </is>
      </c>
      <c r="F83" s="20" t="n">
        <v>47500</v>
      </c>
      <c r="G83" s="34" t="inlineStr">
        <is>
          <t>Competitive displacement</t>
        </is>
      </c>
    </row>
    <row r="84">
      <c r="A84" s="39" t="inlineStr">
        <is>
          <t>2024-05-01</t>
        </is>
      </c>
      <c r="B84" s="18" t="inlineStr">
        <is>
          <t>APAC</t>
        </is>
      </c>
      <c r="C84" s="18" t="inlineStr">
        <is>
          <t>Signal Core</t>
        </is>
      </c>
      <c r="D84" s="18" t="inlineStr">
        <is>
          <t>Mid-market</t>
        </is>
      </c>
      <c r="E84" s="18" t="inlineStr">
        <is>
          <t>B. Lindqvist</t>
        </is>
      </c>
      <c r="F84" s="20" t="n">
        <v>69300</v>
      </c>
      <c r="G84" s="34" t="inlineStr">
        <is>
          <t>Standard list price</t>
        </is>
      </c>
    </row>
    <row r="85">
      <c r="A85" s="39" t="inlineStr">
        <is>
          <t>2024-05-08</t>
        </is>
      </c>
      <c r="B85" s="18" t="inlineStr">
        <is>
          <t>EMEA</t>
        </is>
      </c>
      <c r="C85" s="18" t="inlineStr">
        <is>
          <t>Alerts add-on</t>
        </is>
      </c>
      <c r="D85" s="18" t="inlineStr">
        <is>
          <t>Mid-market</t>
        </is>
      </c>
      <c r="E85" s="18" t="inlineStr">
        <is>
          <t>G. Halloran</t>
        </is>
      </c>
      <c r="F85" s="20" t="n">
        <v>59100</v>
      </c>
      <c r="G85" s="34" t="inlineStr">
        <is>
          <t>Multi-year prepay</t>
        </is>
      </c>
    </row>
    <row r="86">
      <c r="A86" s="39" t="inlineStr">
        <is>
          <t>2024-05-15</t>
        </is>
      </c>
      <c r="B86" s="18" t="inlineStr">
        <is>
          <t>AMER East</t>
        </is>
      </c>
      <c r="C86" s="18" t="inlineStr">
        <is>
          <t>Signal Pro</t>
        </is>
      </c>
      <c r="D86" s="18" t="inlineStr">
        <is>
          <t>SMB</t>
        </is>
      </c>
      <c r="E86" s="18" t="inlineStr">
        <is>
          <t>B. Lindqvist</t>
        </is>
      </c>
      <c r="F86" s="20" t="n">
        <v>219000</v>
      </c>
      <c r="G86" s="34" t="inlineStr">
        <is>
          <t>Competitive displacement</t>
        </is>
      </c>
    </row>
    <row r="87">
      <c r="A87" s="39" t="inlineStr">
        <is>
          <t>2024-05-22</t>
        </is>
      </c>
      <c r="B87" s="18" t="inlineStr">
        <is>
          <t>AMER West</t>
        </is>
      </c>
      <c r="C87" s="18" t="inlineStr">
        <is>
          <t>Warehouse Connect</t>
        </is>
      </c>
      <c r="D87" s="18" t="inlineStr">
        <is>
          <t>Mid-market</t>
        </is>
      </c>
      <c r="E87" s="18" t="inlineStr">
        <is>
          <t>G. Halloran</t>
        </is>
      </c>
      <c r="F87" s="20" t="n">
        <v>68900</v>
      </c>
      <c r="G87" s="34" t="inlineStr">
        <is>
          <t>Standard list price</t>
        </is>
      </c>
    </row>
    <row r="88">
      <c r="A88" s="39" t="inlineStr">
        <is>
          <t>2024-05-29</t>
        </is>
      </c>
      <c r="B88" s="18" t="inlineStr">
        <is>
          <t>AMER West</t>
        </is>
      </c>
      <c r="C88" s="18" t="inlineStr">
        <is>
          <t>Embedded Reports</t>
        </is>
      </c>
      <c r="D88" s="18" t="inlineStr">
        <is>
          <t>Enterprise</t>
        </is>
      </c>
      <c r="E88" s="18" t="inlineStr">
        <is>
          <t>F. Duarte</t>
        </is>
      </c>
      <c r="F88" s="20" t="n">
        <v>102400</v>
      </c>
      <c r="G88" s="34" t="inlineStr">
        <is>
          <t>Ramped deal, year one</t>
        </is>
      </c>
    </row>
    <row r="89">
      <c r="A89" s="39" t="inlineStr">
        <is>
          <t>2024-05-05</t>
        </is>
      </c>
      <c r="B89" s="18" t="inlineStr">
        <is>
          <t>AMER East</t>
        </is>
      </c>
      <c r="C89" s="18" t="inlineStr">
        <is>
          <t>Signal Core</t>
        </is>
      </c>
      <c r="D89" s="18" t="inlineStr">
        <is>
          <t>Mid-market</t>
        </is>
      </c>
      <c r="E89" s="18" t="inlineStr">
        <is>
          <t>C. Marín</t>
        </is>
      </c>
      <c r="F89" s="20" t="n">
        <v>104800</v>
      </c>
      <c r="G89" s="34" t="inlineStr">
        <is>
          <t>Pilot converted</t>
        </is>
      </c>
    </row>
    <row r="90">
      <c r="A90" s="39" t="inlineStr">
        <is>
          <t>2024-05-12</t>
        </is>
      </c>
      <c r="B90" s="18" t="inlineStr">
        <is>
          <t>AMER West</t>
        </is>
      </c>
      <c r="C90" s="18" t="inlineStr">
        <is>
          <t>Signal Pro</t>
        </is>
      </c>
      <c r="D90" s="18" t="inlineStr">
        <is>
          <t>SMB</t>
        </is>
      </c>
      <c r="E90" s="18" t="inlineStr">
        <is>
          <t>J. Adeyemi</t>
        </is>
      </c>
      <c r="F90" s="20" t="n">
        <v>48100</v>
      </c>
      <c r="G90" s="34" t="inlineStr">
        <is>
          <t>Multi-year prepay</t>
        </is>
      </c>
    </row>
    <row r="91">
      <c r="A91" s="39" t="inlineStr">
        <is>
          <t>2024-05-19</t>
        </is>
      </c>
      <c r="B91" s="18" t="inlineStr">
        <is>
          <t>AMER East</t>
        </is>
      </c>
      <c r="C91" s="18" t="inlineStr">
        <is>
          <t>Embedded Reports</t>
        </is>
      </c>
      <c r="D91" s="18" t="inlineStr">
        <is>
          <t>Mid-market</t>
        </is>
      </c>
      <c r="E91" s="18" t="inlineStr">
        <is>
          <t>D. Chatterjee</t>
        </is>
      </c>
      <c r="F91" s="20" t="n">
        <v>61200</v>
      </c>
      <c r="G91" s="34" t="inlineStr">
        <is>
          <t>Multi-year prepay</t>
        </is>
      </c>
    </row>
    <row r="92">
      <c r="A92" s="39" t="inlineStr">
        <is>
          <t>2024-05-26</t>
        </is>
      </c>
      <c r="B92" s="18" t="inlineStr">
        <is>
          <t>AMER East</t>
        </is>
      </c>
      <c r="C92" s="18" t="inlineStr">
        <is>
          <t>Alerts add-on</t>
        </is>
      </c>
      <c r="D92" s="18" t="inlineStr">
        <is>
          <t>Mid-market</t>
        </is>
      </c>
      <c r="E92" s="18" t="inlineStr">
        <is>
          <t>A. Okafor</t>
        </is>
      </c>
      <c r="F92" s="20" t="n">
        <v>143000</v>
      </c>
      <c r="G92" s="34" t="inlineStr">
        <is>
          <t>Co-term with parent</t>
        </is>
      </c>
    </row>
    <row r="93">
      <c r="A93" s="39" t="inlineStr">
        <is>
          <t>2024-05-02</t>
        </is>
      </c>
      <c r="B93" s="18" t="inlineStr">
        <is>
          <t>APAC</t>
        </is>
      </c>
      <c r="C93" s="18" t="inlineStr">
        <is>
          <t>Alerts add-on</t>
        </is>
      </c>
      <c r="D93" s="18" t="inlineStr">
        <is>
          <t>Enterprise</t>
        </is>
      </c>
      <c r="E93" s="18" t="inlineStr">
        <is>
          <t>J. Adeyemi</t>
        </is>
      </c>
      <c r="F93" s="20" t="n">
        <v>52000</v>
      </c>
      <c r="G93" s="34" t="inlineStr">
        <is>
          <t>Ramped deal, year one</t>
        </is>
      </c>
    </row>
    <row r="94">
      <c r="A94" s="39" t="inlineStr">
        <is>
          <t>2024-05-09</t>
        </is>
      </c>
      <c r="B94" s="18" t="inlineStr">
        <is>
          <t>AMER West</t>
        </is>
      </c>
      <c r="C94" s="18" t="inlineStr">
        <is>
          <t>Signal Core</t>
        </is>
      </c>
      <c r="D94" s="18" t="inlineStr">
        <is>
          <t>Mid-market</t>
        </is>
      </c>
      <c r="E94" s="18" t="inlineStr">
        <is>
          <t>F. Duarte</t>
        </is>
      </c>
      <c r="F94" s="20" t="n">
        <v>11600</v>
      </c>
      <c r="G94" s="34" t="inlineStr">
        <is>
          <t>Partner-sourced</t>
        </is>
      </c>
    </row>
    <row r="95">
      <c r="A95" s="39" t="inlineStr">
        <is>
          <t>2024-05-16</t>
        </is>
      </c>
      <c r="B95" s="18" t="inlineStr">
        <is>
          <t>EMEA</t>
        </is>
      </c>
      <c r="C95" s="18" t="inlineStr">
        <is>
          <t>Alerts add-on</t>
        </is>
      </c>
      <c r="D95" s="18" t="inlineStr">
        <is>
          <t>SMB</t>
        </is>
      </c>
      <c r="E95" s="18" t="inlineStr">
        <is>
          <t>J. Adeyemi</t>
        </is>
      </c>
      <c r="F95" s="20" t="n">
        <v>54900</v>
      </c>
      <c r="G95" s="34" t="inlineStr">
        <is>
          <t>Partner-sourced</t>
        </is>
      </c>
    </row>
    <row r="96">
      <c r="A96" s="39" t="inlineStr">
        <is>
          <t>2024-05-23</t>
        </is>
      </c>
      <c r="B96" s="18" t="inlineStr">
        <is>
          <t>AMER West</t>
        </is>
      </c>
      <c r="C96" s="18" t="inlineStr">
        <is>
          <t>Signal Pro</t>
        </is>
      </c>
      <c r="D96" s="18" t="inlineStr">
        <is>
          <t>SMB</t>
        </is>
      </c>
      <c r="E96" s="18" t="inlineStr">
        <is>
          <t>B. Lindqvist</t>
        </is>
      </c>
      <c r="F96" s="20" t="n">
        <v>29500</v>
      </c>
      <c r="G96" s="34" t="inlineStr">
        <is>
          <t>Competitive displacement</t>
        </is>
      </c>
    </row>
    <row r="97">
      <c r="A97" s="39" t="inlineStr">
        <is>
          <t>2024-05-30</t>
        </is>
      </c>
      <c r="B97" s="18" t="inlineStr">
        <is>
          <t>APAC</t>
        </is>
      </c>
      <c r="C97" s="18" t="inlineStr">
        <is>
          <t>Signal Core</t>
        </is>
      </c>
      <c r="D97" s="18" t="inlineStr">
        <is>
          <t>SMB</t>
        </is>
      </c>
      <c r="E97" s="18" t="inlineStr">
        <is>
          <t>F. Duarte</t>
        </is>
      </c>
      <c r="F97" s="20" t="n">
        <v>68700</v>
      </c>
      <c r="G97" s="34" t="inlineStr">
        <is>
          <t>Co-term with parent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2024-06-19</t>
        </is>
      </c>
      <c r="B2" s="18" t="inlineStr">
        <is>
          <t>AMER East</t>
        </is>
      </c>
      <c r="C2" s="18" t="inlineStr">
        <is>
          <t>Signal Pro</t>
        </is>
      </c>
      <c r="D2" s="18" t="inlineStr">
        <is>
          <t>Mid-market</t>
        </is>
      </c>
      <c r="E2" s="18" t="inlineStr">
        <is>
          <t>F. Duarte</t>
        </is>
      </c>
      <c r="F2" s="20" t="n">
        <v>40400</v>
      </c>
      <c r="G2" s="34" t="inlineStr">
        <is>
          <t>Rebate carried from legacy 10% promo</t>
        </is>
      </c>
    </row>
    <row r="3">
      <c r="A3" s="39" t="inlineStr">
        <is>
          <t>2024-06-26</t>
        </is>
      </c>
      <c r="B3" s="18" t="inlineStr">
        <is>
          <t>AMER East</t>
        </is>
      </c>
      <c r="C3" s="18" t="inlineStr">
        <is>
          <t>Signal Pro</t>
        </is>
      </c>
      <c r="D3" s="18" t="inlineStr">
        <is>
          <t>Enterprise</t>
        </is>
      </c>
      <c r="E3" s="18" t="inlineStr">
        <is>
          <t>G. Halloran</t>
        </is>
      </c>
      <c r="F3" s="20" t="n">
        <v>29900</v>
      </c>
      <c r="G3" s="34" t="inlineStr">
        <is>
          <t>Co-term with parent</t>
        </is>
      </c>
    </row>
    <row r="4">
      <c r="A4" s="39" t="inlineStr">
        <is>
          <t>2024-06-03</t>
        </is>
      </c>
      <c r="B4" s="18" t="inlineStr">
        <is>
          <t>EMEA</t>
        </is>
      </c>
      <c r="C4" s="18" t="inlineStr">
        <is>
          <t>Alerts add-on</t>
        </is>
      </c>
      <c r="D4" s="18" t="inlineStr">
        <is>
          <t>Enterprise</t>
        </is>
      </c>
      <c r="E4" s="18" t="inlineStr">
        <is>
          <t>J. Adeyemi</t>
        </is>
      </c>
      <c r="F4" s="20" t="n">
        <v>50000</v>
      </c>
      <c r="G4" s="34" t="inlineStr">
        <is>
          <t>Competitive displacement</t>
        </is>
      </c>
    </row>
    <row r="5">
      <c r="A5" s="39" t="inlineStr">
        <is>
          <t>2024-06-10</t>
        </is>
      </c>
      <c r="B5" s="18" t="inlineStr">
        <is>
          <t>LATAM</t>
        </is>
      </c>
      <c r="C5" s="18" t="inlineStr">
        <is>
          <t>Signal Pro</t>
        </is>
      </c>
      <c r="D5" s="18" t="inlineStr">
        <is>
          <t>Mid-market</t>
        </is>
      </c>
      <c r="E5" s="18" t="inlineStr">
        <is>
          <t>E. Nakamura</t>
        </is>
      </c>
      <c r="F5" s="20" t="n">
        <v>78400</v>
      </c>
      <c r="G5" s="34" t="inlineStr">
        <is>
          <t>Partner-sourced</t>
        </is>
      </c>
    </row>
    <row r="6">
      <c r="A6" s="39" t="inlineStr">
        <is>
          <t>2024-06-17</t>
        </is>
      </c>
      <c r="B6" s="18" t="inlineStr">
        <is>
          <t>EMEA</t>
        </is>
      </c>
      <c r="C6" s="18" t="inlineStr">
        <is>
          <t>Warehouse Connect</t>
        </is>
      </c>
      <c r="D6" s="18" t="inlineStr">
        <is>
          <t>SMB</t>
        </is>
      </c>
      <c r="E6" s="18" t="inlineStr">
        <is>
          <t>K. Sørensen</t>
        </is>
      </c>
      <c r="F6" s="20" t="n">
        <v>69500</v>
      </c>
      <c r="G6" s="34" t="inlineStr">
        <is>
          <t>Renewal uplift 7%</t>
        </is>
      </c>
    </row>
    <row r="7">
      <c r="A7" s="39" t="inlineStr">
        <is>
          <t>2024-06-24</t>
        </is>
      </c>
      <c r="B7" s="18" t="inlineStr">
        <is>
          <t>APAC</t>
        </is>
      </c>
      <c r="C7" s="18" t="inlineStr">
        <is>
          <t>Signal Core</t>
        </is>
      </c>
      <c r="D7" s="18" t="inlineStr">
        <is>
          <t>Enterprise</t>
        </is>
      </c>
      <c r="E7" s="18" t="inlineStr">
        <is>
          <t>D. Chatterjee</t>
        </is>
      </c>
      <c r="F7" s="20" t="n">
        <v>221700</v>
      </c>
      <c r="G7" s="34" t="inlineStr">
        <is>
          <t>Pilot converted</t>
        </is>
      </c>
    </row>
    <row r="8">
      <c r="A8" s="39" t="inlineStr">
        <is>
          <t>2024-06-01</t>
        </is>
      </c>
      <c r="B8" s="18" t="inlineStr">
        <is>
          <t>AMER East</t>
        </is>
      </c>
      <c r="C8" s="18" t="inlineStr">
        <is>
          <t>Signal Pro</t>
        </is>
      </c>
      <c r="D8" s="18" t="inlineStr">
        <is>
          <t>Mid-market</t>
        </is>
      </c>
      <c r="E8" s="18" t="inlineStr">
        <is>
          <t>C. Marín</t>
        </is>
      </c>
      <c r="F8" s="20" t="n">
        <v>31100</v>
      </c>
      <c r="G8" s="34" t="inlineStr">
        <is>
          <t>Renewal uplift 7%</t>
        </is>
      </c>
    </row>
    <row r="9">
      <c r="A9" s="39" t="inlineStr">
        <is>
          <t>2024-06-08</t>
        </is>
      </c>
      <c r="B9" s="18" t="inlineStr">
        <is>
          <t>LATAM</t>
        </is>
      </c>
      <c r="C9" s="18" t="inlineStr">
        <is>
          <t>Signal Pro</t>
        </is>
      </c>
      <c r="D9" s="18" t="inlineStr">
        <is>
          <t>Enterprise</t>
        </is>
      </c>
      <c r="E9" s="18" t="inlineStr">
        <is>
          <t>H. Vasquez</t>
        </is>
      </c>
      <c r="F9" s="20" t="n">
        <v>110000</v>
      </c>
      <c r="G9" s="34" t="inlineStr">
        <is>
          <t>Pilot converted</t>
        </is>
      </c>
    </row>
    <row r="10">
      <c r="A10" s="39" t="inlineStr">
        <is>
          <t>2024-06-15</t>
        </is>
      </c>
      <c r="B10" s="18" t="inlineStr">
        <is>
          <t>AMER East</t>
        </is>
      </c>
      <c r="C10" s="18" t="inlineStr">
        <is>
          <t>Signal Core</t>
        </is>
      </c>
      <c r="D10" s="18" t="inlineStr">
        <is>
          <t>Mid-market</t>
        </is>
      </c>
      <c r="E10" s="18" t="inlineStr">
        <is>
          <t>G. Halloran</t>
        </is>
      </c>
      <c r="F10" s="20" t="n">
        <v>205500</v>
      </c>
      <c r="G10" s="34" t="inlineStr">
        <is>
          <t>Standard list price</t>
        </is>
      </c>
    </row>
    <row r="11">
      <c r="A11" s="39" t="inlineStr">
        <is>
          <t>2024-06-22</t>
        </is>
      </c>
      <c r="B11" s="18" t="inlineStr">
        <is>
          <t>LATAM</t>
        </is>
      </c>
      <c r="C11" s="18" t="inlineStr">
        <is>
          <t>Warehouse Connect</t>
        </is>
      </c>
      <c r="D11" s="18" t="inlineStr">
        <is>
          <t>SMB</t>
        </is>
      </c>
      <c r="E11" s="18" t="inlineStr">
        <is>
          <t>J. Adeyemi</t>
        </is>
      </c>
      <c r="F11" s="20" t="n">
        <v>19200</v>
      </c>
      <c r="G11" s="34" t="inlineStr">
        <is>
          <t>Multi-year prepay</t>
        </is>
      </c>
    </row>
    <row r="12">
      <c r="A12" s="39" t="inlineStr">
        <is>
          <t>2024-06-29</t>
        </is>
      </c>
      <c r="B12" s="18" t="inlineStr">
        <is>
          <t>LATAM</t>
        </is>
      </c>
      <c r="C12" s="18" t="inlineStr">
        <is>
          <t>Warehouse Connect</t>
        </is>
      </c>
      <c r="D12" s="18" t="inlineStr">
        <is>
          <t>Mid-market</t>
        </is>
      </c>
      <c r="E12" s="18" t="inlineStr">
        <is>
          <t>C. Marín</t>
        </is>
      </c>
      <c r="F12" s="20" t="n">
        <v>68100</v>
      </c>
      <c r="G12" s="34" t="inlineStr">
        <is>
          <t>Renewal uplift 7%</t>
        </is>
      </c>
    </row>
    <row r="13">
      <c r="A13" s="39" t="inlineStr">
        <is>
          <t>2024-06-06</t>
        </is>
      </c>
      <c r="B13" s="18" t="inlineStr">
        <is>
          <t>AMER West</t>
        </is>
      </c>
      <c r="C13" s="18" t="inlineStr">
        <is>
          <t>Signal Core</t>
        </is>
      </c>
      <c r="D13" s="18" t="inlineStr">
        <is>
          <t>Enterprise</t>
        </is>
      </c>
      <c r="E13" s="18" t="inlineStr">
        <is>
          <t>K. Sørensen</t>
        </is>
      </c>
      <c r="F13" s="20" t="n">
        <v>28400</v>
      </c>
      <c r="G13" s="34" t="inlineStr">
        <is>
          <t>Renewal uplift 7%</t>
        </is>
      </c>
    </row>
    <row r="14">
      <c r="A14" s="39" t="inlineStr">
        <is>
          <t>2024-06-13</t>
        </is>
      </c>
      <c r="B14" s="18" t="inlineStr">
        <is>
          <t>APAC</t>
        </is>
      </c>
      <c r="C14" s="18" t="inlineStr">
        <is>
          <t>Signal Core</t>
        </is>
      </c>
      <c r="D14" s="18" t="inlineStr">
        <is>
          <t>Enterprise</t>
        </is>
      </c>
      <c r="E14" s="18" t="inlineStr">
        <is>
          <t>B. Lindqvist</t>
        </is>
      </c>
      <c r="F14" s="20" t="n">
        <v>64200</v>
      </c>
      <c r="G14" s="34" t="inlineStr">
        <is>
          <t>Renewal uplift 7%</t>
        </is>
      </c>
    </row>
    <row r="15">
      <c r="A15" s="39" t="inlineStr">
        <is>
          <t>2024-06-20</t>
        </is>
      </c>
      <c r="B15" s="18" t="inlineStr">
        <is>
          <t>LATAM</t>
        </is>
      </c>
      <c r="C15" s="18" t="inlineStr">
        <is>
          <t>Embedded Reports</t>
        </is>
      </c>
      <c r="D15" s="18" t="inlineStr">
        <is>
          <t>Enterprise</t>
        </is>
      </c>
      <c r="E15" s="18" t="inlineStr">
        <is>
          <t>E. Nakamura</t>
        </is>
      </c>
      <c r="F15" s="20" t="n">
        <v>53600</v>
      </c>
      <c r="G15" s="34" t="inlineStr">
        <is>
          <t>Ramped deal, year one</t>
        </is>
      </c>
    </row>
    <row r="16">
      <c r="A16" s="39" t="inlineStr">
        <is>
          <t>2024-06-27</t>
        </is>
      </c>
      <c r="B16" s="18" t="inlineStr">
        <is>
          <t>AMER West</t>
        </is>
      </c>
      <c r="C16" s="18" t="inlineStr">
        <is>
          <t>Signal Pro</t>
        </is>
      </c>
      <c r="D16" s="18" t="inlineStr">
        <is>
          <t>Mid-market</t>
        </is>
      </c>
      <c r="E16" s="18" t="inlineStr">
        <is>
          <t>B. Lindqvist</t>
        </is>
      </c>
      <c r="F16" s="20" t="n">
        <v>140100</v>
      </c>
      <c r="G16" s="34" t="inlineStr">
        <is>
          <t>Multi-year prepay</t>
        </is>
      </c>
    </row>
    <row r="17">
      <c r="A17" s="39" t="inlineStr">
        <is>
          <t>2024-06-04</t>
        </is>
      </c>
      <c r="B17" s="18" t="inlineStr">
        <is>
          <t>AMER West</t>
        </is>
      </c>
      <c r="C17" s="18" t="inlineStr">
        <is>
          <t>Signal Core</t>
        </is>
      </c>
      <c r="D17" s="18" t="inlineStr">
        <is>
          <t>Enterprise</t>
        </is>
      </c>
      <c r="E17" s="18" t="inlineStr">
        <is>
          <t>G. Halloran</t>
        </is>
      </c>
      <c r="F17" s="20" t="n">
        <v>66400</v>
      </c>
      <c r="G17" s="34" t="inlineStr">
        <is>
          <t>Pilot converted</t>
        </is>
      </c>
    </row>
    <row r="18">
      <c r="A18" s="39" t="inlineStr">
        <is>
          <t>2024-06-11</t>
        </is>
      </c>
      <c r="B18" s="18" t="inlineStr">
        <is>
          <t>LATAM</t>
        </is>
      </c>
      <c r="C18" s="18" t="inlineStr">
        <is>
          <t>Alerts add-on</t>
        </is>
      </c>
      <c r="D18" s="18" t="inlineStr">
        <is>
          <t>Mid-market</t>
        </is>
      </c>
      <c r="E18" s="18" t="inlineStr">
        <is>
          <t>F. Duarte</t>
        </is>
      </c>
      <c r="F18" s="20" t="n">
        <v>30300</v>
      </c>
      <c r="G18" s="34" t="inlineStr">
        <is>
          <t>Pilot converted</t>
        </is>
      </c>
    </row>
    <row r="19">
      <c r="A19" s="39" t="inlineStr">
        <is>
          <t>2024-06-18</t>
        </is>
      </c>
      <c r="B19" s="18" t="inlineStr">
        <is>
          <t>LATAM</t>
        </is>
      </c>
      <c r="C19" s="18" t="inlineStr">
        <is>
          <t>Signal Core</t>
        </is>
      </c>
      <c r="D19" s="18" t="inlineStr">
        <is>
          <t>Enterprise</t>
        </is>
      </c>
      <c r="E19" s="18" t="inlineStr">
        <is>
          <t>J. Adeyemi</t>
        </is>
      </c>
      <c r="F19" s="20" t="n">
        <v>68800</v>
      </c>
      <c r="G19" s="34" t="inlineStr">
        <is>
          <t>Ramped deal, year one</t>
        </is>
      </c>
    </row>
    <row r="20">
      <c r="A20" s="39" t="inlineStr">
        <is>
          <t>2024-06-25</t>
        </is>
      </c>
      <c r="B20" s="18" t="inlineStr">
        <is>
          <t>LATAM</t>
        </is>
      </c>
      <c r="C20" s="18" t="inlineStr">
        <is>
          <t>Embedded Reports</t>
        </is>
      </c>
      <c r="D20" s="18" t="inlineStr">
        <is>
          <t>SMB</t>
        </is>
      </c>
      <c r="E20" s="18" t="inlineStr">
        <is>
          <t>G. Halloran</t>
        </is>
      </c>
      <c r="F20" s="20" t="n">
        <v>31500</v>
      </c>
      <c r="G20" s="34" t="inlineStr">
        <is>
          <t>Pilot converted</t>
        </is>
      </c>
    </row>
    <row r="21">
      <c r="A21" s="39" t="inlineStr">
        <is>
          <t>2024-06-02</t>
        </is>
      </c>
      <c r="B21" s="18" t="inlineStr">
        <is>
          <t>AMER West</t>
        </is>
      </c>
      <c r="C21" s="18" t="inlineStr">
        <is>
          <t>Alerts add-on</t>
        </is>
      </c>
      <c r="D21" s="18" t="inlineStr">
        <is>
          <t>Enterprise</t>
        </is>
      </c>
      <c r="E21" s="18" t="inlineStr">
        <is>
          <t>A. Okafor</t>
        </is>
      </c>
      <c r="F21" s="20" t="n">
        <v>24500</v>
      </c>
      <c r="G21" s="34" t="inlineStr">
        <is>
          <t>Multi-year prepay</t>
        </is>
      </c>
    </row>
    <row r="22">
      <c r="A22" s="39" t="inlineStr">
        <is>
          <t>2024-06-09</t>
        </is>
      </c>
      <c r="B22" s="18" t="inlineStr">
        <is>
          <t>AMER West</t>
        </is>
      </c>
      <c r="C22" s="18" t="inlineStr">
        <is>
          <t>Alerts add-on</t>
        </is>
      </c>
      <c r="D22" s="18" t="inlineStr">
        <is>
          <t>Enterprise</t>
        </is>
      </c>
      <c r="E22" s="18" t="inlineStr">
        <is>
          <t>J. Adeyemi</t>
        </is>
      </c>
      <c r="F22" s="20" t="n">
        <v>70500</v>
      </c>
      <c r="G22" s="34" t="inlineStr">
        <is>
          <t>Pilot converted</t>
        </is>
      </c>
    </row>
    <row r="23">
      <c r="A23" s="39" t="inlineStr">
        <is>
          <t>2024-06-16</t>
        </is>
      </c>
      <c r="B23" s="18" t="inlineStr">
        <is>
          <t>LATAM</t>
        </is>
      </c>
      <c r="C23" s="18" t="inlineStr">
        <is>
          <t>Warehouse Connect</t>
        </is>
      </c>
      <c r="D23" s="18" t="inlineStr">
        <is>
          <t>Mid-market</t>
        </is>
      </c>
      <c r="E23" s="18" t="inlineStr">
        <is>
          <t>J. Adeyemi</t>
        </is>
      </c>
      <c r="F23" s="20" t="n">
        <v>19400</v>
      </c>
      <c r="G23" s="34" t="inlineStr">
        <is>
          <t>Renewal uplift 7%</t>
        </is>
      </c>
    </row>
    <row r="24">
      <c r="A24" s="39" t="inlineStr">
        <is>
          <t>2024-06-23</t>
        </is>
      </c>
      <c r="B24" s="18" t="inlineStr">
        <is>
          <t>EMEA</t>
        </is>
      </c>
      <c r="C24" s="18" t="inlineStr">
        <is>
          <t>Warehouse Connect</t>
        </is>
      </c>
      <c r="D24" s="18" t="inlineStr">
        <is>
          <t>Enterprise</t>
        </is>
      </c>
      <c r="E24" s="18" t="inlineStr">
        <is>
          <t>A. Okafor</t>
        </is>
      </c>
      <c r="F24" s="20" t="n">
        <v>61800</v>
      </c>
      <c r="G24" s="34" t="inlineStr">
        <is>
          <t>Co-term with parent</t>
        </is>
      </c>
    </row>
    <row r="25">
      <c r="A25" s="39" t="inlineStr">
        <is>
          <t>2024-06-30</t>
        </is>
      </c>
      <c r="B25" s="18" t="inlineStr">
        <is>
          <t>APAC</t>
        </is>
      </c>
      <c r="C25" s="18" t="inlineStr">
        <is>
          <t>Warehouse Connect</t>
        </is>
      </c>
      <c r="D25" s="18" t="inlineStr">
        <is>
          <t>SMB</t>
        </is>
      </c>
      <c r="E25" s="18" t="inlineStr">
        <is>
          <t>F. Duarte</t>
        </is>
      </c>
      <c r="F25" s="20" t="n">
        <v>22000</v>
      </c>
      <c r="G25" s="34" t="inlineStr">
        <is>
          <t>Multi-year prepay</t>
        </is>
      </c>
    </row>
    <row r="26">
      <c r="A26" s="39" t="inlineStr">
        <is>
          <t>2024-06-07</t>
        </is>
      </c>
      <c r="B26" s="18" t="inlineStr">
        <is>
          <t>LATAM</t>
        </is>
      </c>
      <c r="C26" s="18" t="inlineStr">
        <is>
          <t>Signal Pro</t>
        </is>
      </c>
      <c r="D26" s="18" t="inlineStr">
        <is>
          <t>Enterprise</t>
        </is>
      </c>
      <c r="E26" s="18" t="inlineStr">
        <is>
          <t>A. Okafor</t>
        </is>
      </c>
      <c r="F26" s="20" t="n">
        <v>4200</v>
      </c>
      <c r="G26" s="34" t="inlineStr">
        <is>
          <t>Multi-year prepay</t>
        </is>
      </c>
    </row>
    <row r="27">
      <c r="A27" s="39" t="inlineStr">
        <is>
          <t>2024-06-14</t>
        </is>
      </c>
      <c r="B27" s="18" t="inlineStr">
        <is>
          <t>AMER West</t>
        </is>
      </c>
      <c r="C27" s="18" t="inlineStr">
        <is>
          <t>Signal Pro</t>
        </is>
      </c>
      <c r="D27" s="18" t="inlineStr">
        <is>
          <t>Mid-market</t>
        </is>
      </c>
      <c r="E27" s="18" t="inlineStr">
        <is>
          <t>K. Sørensen</t>
        </is>
      </c>
      <c r="F27" s="20" t="n">
        <v>25800</v>
      </c>
      <c r="G27" s="34" t="inlineStr">
        <is>
          <t>Renewal uplift 7%</t>
        </is>
      </c>
    </row>
    <row r="28">
      <c r="A28" s="39" t="inlineStr">
        <is>
          <t>2024-06-21</t>
        </is>
      </c>
      <c r="B28" s="18" t="inlineStr">
        <is>
          <t>AMER West</t>
        </is>
      </c>
      <c r="C28" s="18" t="inlineStr">
        <is>
          <t>Signal Pro</t>
        </is>
      </c>
      <c r="D28" s="18" t="inlineStr">
        <is>
          <t>SMB</t>
        </is>
      </c>
      <c r="E28" s="18" t="inlineStr">
        <is>
          <t>E. Nakamura</t>
        </is>
      </c>
      <c r="F28" s="20" t="n">
        <v>102400</v>
      </c>
      <c r="G28" s="34" t="inlineStr">
        <is>
          <t>Competitive displacement</t>
        </is>
      </c>
    </row>
    <row r="29">
      <c r="A29" s="39" t="inlineStr">
        <is>
          <t>2024-06-28</t>
        </is>
      </c>
      <c r="B29" s="18" t="inlineStr">
        <is>
          <t>EMEA</t>
        </is>
      </c>
      <c r="C29" s="18" t="inlineStr">
        <is>
          <t>Signal Pro</t>
        </is>
      </c>
      <c r="D29" s="18" t="inlineStr">
        <is>
          <t>Enterprise</t>
        </is>
      </c>
      <c r="E29" s="18" t="inlineStr">
        <is>
          <t>F. Duarte</t>
        </is>
      </c>
      <c r="F29" s="20" t="n">
        <v>65100</v>
      </c>
      <c r="G29" s="34" t="inlineStr">
        <is>
          <t>Co-term with parent</t>
        </is>
      </c>
    </row>
    <row r="30">
      <c r="A30" s="39" t="inlineStr">
        <is>
          <t>2024-06-05</t>
        </is>
      </c>
      <c r="B30" s="18" t="inlineStr">
        <is>
          <t>AMER West</t>
        </is>
      </c>
      <c r="C30" s="18" t="inlineStr">
        <is>
          <t>Signal Pro</t>
        </is>
      </c>
      <c r="D30" s="18" t="inlineStr">
        <is>
          <t>Enterprise</t>
        </is>
      </c>
      <c r="E30" s="18" t="inlineStr">
        <is>
          <t>G. Halloran</t>
        </is>
      </c>
      <c r="F30" s="20" t="n">
        <v>70800</v>
      </c>
      <c r="G30" s="34" t="inlineStr">
        <is>
          <t>Standard list price</t>
        </is>
      </c>
    </row>
    <row r="31">
      <c r="A31" s="39" t="inlineStr">
        <is>
          <t>2024-06-12</t>
        </is>
      </c>
      <c r="B31" s="18" t="inlineStr">
        <is>
          <t>LATAM</t>
        </is>
      </c>
      <c r="C31" s="18" t="inlineStr">
        <is>
          <t>Alerts add-on</t>
        </is>
      </c>
      <c r="D31" s="18" t="inlineStr">
        <is>
          <t>SMB</t>
        </is>
      </c>
      <c r="E31" s="18" t="inlineStr">
        <is>
          <t>A. Okafor</t>
        </is>
      </c>
      <c r="F31" s="20" t="n">
        <v>17000</v>
      </c>
      <c r="G31" s="34" t="inlineStr">
        <is>
          <t>Multi-year prepay</t>
        </is>
      </c>
    </row>
    <row r="32">
      <c r="A32" s="39" t="inlineStr">
        <is>
          <t>2024-06-19</t>
        </is>
      </c>
      <c r="B32" s="18" t="inlineStr">
        <is>
          <t>EMEA</t>
        </is>
      </c>
      <c r="C32" s="18" t="inlineStr">
        <is>
          <t>Signal Pro</t>
        </is>
      </c>
      <c r="D32" s="18" t="inlineStr">
        <is>
          <t>Enterprise</t>
        </is>
      </c>
      <c r="E32" s="18" t="inlineStr">
        <is>
          <t>G. Halloran</t>
        </is>
      </c>
      <c r="F32" s="20" t="n">
        <v>28200</v>
      </c>
      <c r="G32" s="34" t="inlineStr">
        <is>
          <t>Partner-sourced</t>
        </is>
      </c>
    </row>
    <row r="33">
      <c r="A33" s="39" t="inlineStr">
        <is>
          <t>2024-06-26</t>
        </is>
      </c>
      <c r="B33" s="18" t="inlineStr">
        <is>
          <t>APAC</t>
        </is>
      </c>
      <c r="C33" s="18" t="inlineStr">
        <is>
          <t>Embedded Reports</t>
        </is>
      </c>
      <c r="D33" s="18" t="inlineStr">
        <is>
          <t>Enterprise</t>
        </is>
      </c>
      <c r="E33" s="18" t="inlineStr">
        <is>
          <t>F. Duarte</t>
        </is>
      </c>
      <c r="F33" s="20" t="n">
        <v>35300</v>
      </c>
      <c r="G33" s="34" t="inlineStr">
        <is>
          <t>Standard list price</t>
        </is>
      </c>
    </row>
    <row r="34">
      <c r="A34" s="39" t="inlineStr">
        <is>
          <t>2024-06-03</t>
        </is>
      </c>
      <c r="B34" s="18" t="inlineStr">
        <is>
          <t>APAC</t>
        </is>
      </c>
      <c r="C34" s="18" t="inlineStr">
        <is>
          <t>Embedded Reports</t>
        </is>
      </c>
      <c r="D34" s="18" t="inlineStr">
        <is>
          <t>Enterprise</t>
        </is>
      </c>
      <c r="E34" s="18" t="inlineStr">
        <is>
          <t>B. Lindqvist</t>
        </is>
      </c>
      <c r="F34" s="20" t="n">
        <v>117800</v>
      </c>
      <c r="G34" s="34" t="inlineStr">
        <is>
          <t>Renewal uplift 7%</t>
        </is>
      </c>
    </row>
    <row r="35">
      <c r="A35" s="39" t="inlineStr">
        <is>
          <t>2024-06-10</t>
        </is>
      </c>
      <c r="B35" s="18" t="inlineStr">
        <is>
          <t>EMEA</t>
        </is>
      </c>
      <c r="C35" s="18" t="inlineStr">
        <is>
          <t>Signal Pro</t>
        </is>
      </c>
      <c r="D35" s="18" t="inlineStr">
        <is>
          <t>Mid-market</t>
        </is>
      </c>
      <c r="E35" s="18" t="inlineStr">
        <is>
          <t>G. Halloran</t>
        </is>
      </c>
      <c r="F35" s="20" t="n">
        <v>16800</v>
      </c>
      <c r="G35" s="34" t="inlineStr">
        <is>
          <t>Multi-year prepay</t>
        </is>
      </c>
    </row>
    <row r="36">
      <c r="A36" s="39" t="inlineStr">
        <is>
          <t>2024-06-17</t>
        </is>
      </c>
      <c r="B36" s="18" t="inlineStr">
        <is>
          <t>AMER West</t>
        </is>
      </c>
      <c r="C36" s="18" t="inlineStr">
        <is>
          <t>Signal Pro</t>
        </is>
      </c>
      <c r="D36" s="18" t="inlineStr">
        <is>
          <t>SMB</t>
        </is>
      </c>
      <c r="E36" s="18" t="inlineStr">
        <is>
          <t>J. Adeyemi</t>
        </is>
      </c>
      <c r="F36" s="20" t="n">
        <v>13600</v>
      </c>
      <c r="G36" s="34" t="inlineStr">
        <is>
          <t>Co-term with parent</t>
        </is>
      </c>
    </row>
    <row r="37">
      <c r="A37" s="39" t="inlineStr">
        <is>
          <t>2024-06-24</t>
        </is>
      </c>
      <c r="B37" s="18" t="inlineStr">
        <is>
          <t>LATAM</t>
        </is>
      </c>
      <c r="C37" s="18" t="inlineStr">
        <is>
          <t>Embedded Reports</t>
        </is>
      </c>
      <c r="D37" s="18" t="inlineStr">
        <is>
          <t>Enterprise</t>
        </is>
      </c>
      <c r="E37" s="18" t="inlineStr">
        <is>
          <t>E. Nakamura</t>
        </is>
      </c>
      <c r="F37" s="20" t="n">
        <v>60300</v>
      </c>
      <c r="G37" s="34" t="inlineStr">
        <is>
          <t>Multi-year prepay</t>
        </is>
      </c>
    </row>
    <row r="38">
      <c r="A38" s="39" t="inlineStr">
        <is>
          <t>2024-06-01</t>
        </is>
      </c>
      <c r="B38" s="18" t="inlineStr">
        <is>
          <t>LATAM</t>
        </is>
      </c>
      <c r="C38" s="18" t="inlineStr">
        <is>
          <t>Warehouse Connect</t>
        </is>
      </c>
      <c r="D38" s="18" t="inlineStr">
        <is>
          <t>SMB</t>
        </is>
      </c>
      <c r="E38" s="18" t="inlineStr">
        <is>
          <t>H. Vasquez</t>
        </is>
      </c>
      <c r="F38" s="20" t="n">
        <v>35400</v>
      </c>
      <c r="G38" s="34" t="inlineStr">
        <is>
          <t>Standard list price</t>
        </is>
      </c>
    </row>
    <row r="39">
      <c r="A39" s="39" t="inlineStr">
        <is>
          <t>2024-06-08</t>
        </is>
      </c>
      <c r="B39" s="18" t="inlineStr">
        <is>
          <t>LATAM</t>
        </is>
      </c>
      <c r="C39" s="18" t="inlineStr">
        <is>
          <t>Embedded Reports</t>
        </is>
      </c>
      <c r="D39" s="18" t="inlineStr">
        <is>
          <t>Mid-market</t>
        </is>
      </c>
      <c r="E39" s="18" t="inlineStr">
        <is>
          <t>G. Halloran</t>
        </is>
      </c>
      <c r="F39" s="20" t="n">
        <v>49200</v>
      </c>
      <c r="G39" s="34" t="inlineStr">
        <is>
          <t>Co-term with parent</t>
        </is>
      </c>
    </row>
    <row r="40">
      <c r="A40" s="39" t="inlineStr">
        <is>
          <t>2024-06-15</t>
        </is>
      </c>
      <c r="B40" s="18" t="inlineStr">
        <is>
          <t>AMER West</t>
        </is>
      </c>
      <c r="C40" s="18" t="inlineStr">
        <is>
          <t>Alerts add-on</t>
        </is>
      </c>
      <c r="D40" s="18" t="inlineStr">
        <is>
          <t>SMB</t>
        </is>
      </c>
      <c r="E40" s="18" t="inlineStr">
        <is>
          <t>G. Halloran</t>
        </is>
      </c>
      <c r="F40" s="20" t="n">
        <v>10100</v>
      </c>
      <c r="G40" s="34" t="inlineStr">
        <is>
          <t>Renewal uplift 7%</t>
        </is>
      </c>
    </row>
    <row r="41">
      <c r="A41" s="39" t="inlineStr">
        <is>
          <t>2024-06-22</t>
        </is>
      </c>
      <c r="B41" s="18" t="inlineStr">
        <is>
          <t>EMEA</t>
        </is>
      </c>
      <c r="C41" s="18" t="inlineStr">
        <is>
          <t>Alerts add-on</t>
        </is>
      </c>
      <c r="D41" s="18" t="inlineStr">
        <is>
          <t>SMB</t>
        </is>
      </c>
      <c r="E41" s="18" t="inlineStr">
        <is>
          <t>D. Chatterjee</t>
        </is>
      </c>
      <c r="F41" s="20" t="n">
        <v>43700</v>
      </c>
      <c r="G41" s="34" t="inlineStr">
        <is>
          <t>Co-term with parent</t>
        </is>
      </c>
    </row>
    <row r="42">
      <c r="A42" s="39" t="inlineStr">
        <is>
          <t>2024-06-29</t>
        </is>
      </c>
      <c r="B42" s="18" t="inlineStr">
        <is>
          <t>AMER West</t>
        </is>
      </c>
      <c r="C42" s="18" t="inlineStr">
        <is>
          <t>Warehouse Connect</t>
        </is>
      </c>
      <c r="D42" s="18" t="inlineStr">
        <is>
          <t>Mid-market</t>
        </is>
      </c>
      <c r="E42" s="18" t="inlineStr">
        <is>
          <t>J. Adeyemi</t>
        </is>
      </c>
      <c r="F42" s="20" t="n">
        <v>101800</v>
      </c>
      <c r="G42" s="34" t="inlineStr">
        <is>
          <t>Ramped deal, year one</t>
        </is>
      </c>
    </row>
    <row r="43">
      <c r="A43" s="39" t="inlineStr">
        <is>
          <t>2024-06-06</t>
        </is>
      </c>
      <c r="B43" s="18" t="inlineStr">
        <is>
          <t>AMER West</t>
        </is>
      </c>
      <c r="C43" s="18" t="inlineStr">
        <is>
          <t>Alerts add-on</t>
        </is>
      </c>
      <c r="D43" s="18" t="inlineStr">
        <is>
          <t>Mid-market</t>
        </is>
      </c>
      <c r="E43" s="18" t="inlineStr">
        <is>
          <t>D. Chatterjee</t>
        </is>
      </c>
      <c r="F43" s="20" t="n">
        <v>156900</v>
      </c>
      <c r="G43" s="34" t="inlineStr">
        <is>
          <t>Standard list price</t>
        </is>
      </c>
    </row>
    <row r="44">
      <c r="A44" s="39" t="inlineStr">
        <is>
          <t>2024-06-13</t>
        </is>
      </c>
      <c r="B44" s="18" t="inlineStr">
        <is>
          <t>LATAM</t>
        </is>
      </c>
      <c r="C44" s="18" t="inlineStr">
        <is>
          <t>Signal Core</t>
        </is>
      </c>
      <c r="D44" s="18" t="inlineStr">
        <is>
          <t>SMB</t>
        </is>
      </c>
      <c r="E44" s="18" t="inlineStr">
        <is>
          <t>D. Chatterjee</t>
        </is>
      </c>
      <c r="F44" s="20" t="n">
        <v>19800</v>
      </c>
      <c r="G44" s="34" t="inlineStr">
        <is>
          <t>Pilot converted</t>
        </is>
      </c>
    </row>
    <row r="45">
      <c r="A45" s="39" t="inlineStr">
        <is>
          <t>2024-06-20</t>
        </is>
      </c>
      <c r="B45" s="18" t="inlineStr">
        <is>
          <t>LATAM</t>
        </is>
      </c>
      <c r="C45" s="18" t="inlineStr">
        <is>
          <t>Embedded Reports</t>
        </is>
      </c>
      <c r="D45" s="18" t="inlineStr">
        <is>
          <t>SMB</t>
        </is>
      </c>
      <c r="E45" s="18" t="inlineStr">
        <is>
          <t>J. Adeyemi</t>
        </is>
      </c>
      <c r="F45" s="20" t="n">
        <v>97400</v>
      </c>
      <c r="G45" s="34" t="inlineStr">
        <is>
          <t>Co-term with parent</t>
        </is>
      </c>
    </row>
    <row r="46">
      <c r="A46" s="39" t="inlineStr">
        <is>
          <t>2024-06-27</t>
        </is>
      </c>
      <c r="B46" s="18" t="inlineStr">
        <is>
          <t>EMEA</t>
        </is>
      </c>
      <c r="C46" s="18" t="inlineStr">
        <is>
          <t>Embedded Reports</t>
        </is>
      </c>
      <c r="D46" s="18" t="inlineStr">
        <is>
          <t>Mid-market</t>
        </is>
      </c>
      <c r="E46" s="18" t="inlineStr">
        <is>
          <t>J. Adeyemi</t>
        </is>
      </c>
      <c r="F46" s="20" t="n">
        <v>156600</v>
      </c>
      <c r="G46" s="34" t="inlineStr">
        <is>
          <t>Ramped deal, year one</t>
        </is>
      </c>
    </row>
    <row r="47">
      <c r="A47" s="39" t="inlineStr">
        <is>
          <t>2024-06-04</t>
        </is>
      </c>
      <c r="B47" s="18" t="inlineStr">
        <is>
          <t>AMER East</t>
        </is>
      </c>
      <c r="C47" s="18" t="inlineStr">
        <is>
          <t>Signal Pro</t>
        </is>
      </c>
      <c r="D47" s="18" t="inlineStr">
        <is>
          <t>Enterprise</t>
        </is>
      </c>
      <c r="E47" s="18" t="inlineStr">
        <is>
          <t>K. Sørensen</t>
        </is>
      </c>
      <c r="F47" s="20" t="n">
        <v>59100</v>
      </c>
      <c r="G47" s="34" t="inlineStr">
        <is>
          <t>Partner-sourced</t>
        </is>
      </c>
    </row>
    <row r="48">
      <c r="A48" s="39" t="inlineStr">
        <is>
          <t>2024-06-11</t>
        </is>
      </c>
      <c r="B48" s="18" t="inlineStr">
        <is>
          <t>LATAM</t>
        </is>
      </c>
      <c r="C48" s="18" t="inlineStr">
        <is>
          <t>Alerts add-on</t>
        </is>
      </c>
      <c r="D48" s="18" t="inlineStr">
        <is>
          <t>Mid-market</t>
        </is>
      </c>
      <c r="E48" s="18" t="inlineStr">
        <is>
          <t>D. Chatterjee</t>
        </is>
      </c>
      <c r="F48" s="20" t="n">
        <v>84400</v>
      </c>
      <c r="G48" s="34" t="inlineStr">
        <is>
          <t>Pilot converted</t>
        </is>
      </c>
    </row>
    <row r="49">
      <c r="A49" s="39" t="inlineStr">
        <is>
          <t>2024-06-18</t>
        </is>
      </c>
      <c r="B49" s="18" t="inlineStr">
        <is>
          <t>AMER East</t>
        </is>
      </c>
      <c r="C49" s="18" t="inlineStr">
        <is>
          <t>Signal Pro</t>
        </is>
      </c>
      <c r="D49" s="18" t="inlineStr">
        <is>
          <t>SMB</t>
        </is>
      </c>
      <c r="E49" s="18" t="inlineStr">
        <is>
          <t>J. Adeyemi</t>
        </is>
      </c>
      <c r="F49" s="20" t="n">
        <v>48200</v>
      </c>
      <c r="G49" s="34" t="inlineStr">
        <is>
          <t>Multi-year prepay</t>
        </is>
      </c>
    </row>
    <row r="50">
      <c r="A50" s="39" t="inlineStr">
        <is>
          <t>2024-06-25</t>
        </is>
      </c>
      <c r="B50" s="18" t="inlineStr">
        <is>
          <t>LATAM</t>
        </is>
      </c>
      <c r="C50" s="18" t="inlineStr">
        <is>
          <t>Signal Pro</t>
        </is>
      </c>
      <c r="D50" s="18" t="inlineStr">
        <is>
          <t>Mid-market</t>
        </is>
      </c>
      <c r="E50" s="18" t="inlineStr">
        <is>
          <t>A. Okafor</t>
        </is>
      </c>
      <c r="F50" s="20" t="n">
        <v>30600</v>
      </c>
      <c r="G50" s="34" t="inlineStr">
        <is>
          <t>Multi-year prepay</t>
        </is>
      </c>
    </row>
    <row r="51">
      <c r="A51" s="39" t="inlineStr">
        <is>
          <t>2024-06-02</t>
        </is>
      </c>
      <c r="B51" s="18" t="inlineStr">
        <is>
          <t>AMER West</t>
        </is>
      </c>
      <c r="C51" s="18" t="inlineStr">
        <is>
          <t>Alerts add-on</t>
        </is>
      </c>
      <c r="D51" s="18" t="inlineStr">
        <is>
          <t>Enterprise</t>
        </is>
      </c>
      <c r="E51" s="18" t="inlineStr">
        <is>
          <t>C. Marín</t>
        </is>
      </c>
      <c r="F51" s="20" t="n">
        <v>57400</v>
      </c>
      <c r="G51" s="34" t="inlineStr">
        <is>
          <t>Partner-sourced</t>
        </is>
      </c>
    </row>
    <row r="52">
      <c r="A52" s="39" t="inlineStr">
        <is>
          <t>2024-06-09</t>
        </is>
      </c>
      <c r="B52" s="18" t="inlineStr">
        <is>
          <t>EMEA</t>
        </is>
      </c>
      <c r="C52" s="18" t="inlineStr">
        <is>
          <t>Warehouse Connect</t>
        </is>
      </c>
      <c r="D52" s="18" t="inlineStr">
        <is>
          <t>Enterprise</t>
        </is>
      </c>
      <c r="E52" s="18" t="inlineStr">
        <is>
          <t>H. Vasquez</t>
        </is>
      </c>
      <c r="F52" s="20" t="n">
        <v>37500</v>
      </c>
      <c r="G52" s="34" t="inlineStr">
        <is>
          <t>Multi-year prepay</t>
        </is>
      </c>
    </row>
    <row r="53">
      <c r="A53" s="39" t="inlineStr">
        <is>
          <t>2024-06-16</t>
        </is>
      </c>
      <c r="B53" s="18" t="inlineStr">
        <is>
          <t>AMER West</t>
        </is>
      </c>
      <c r="C53" s="18" t="inlineStr">
        <is>
          <t>Signal Core</t>
        </is>
      </c>
      <c r="D53" s="18" t="inlineStr">
        <is>
          <t>Mid-market</t>
        </is>
      </c>
      <c r="E53" s="18" t="inlineStr">
        <is>
          <t>D. Chatterjee</t>
        </is>
      </c>
      <c r="F53" s="20" t="n">
        <v>76800</v>
      </c>
      <c r="G53" s="34" t="inlineStr">
        <is>
          <t>Co-term with parent</t>
        </is>
      </c>
    </row>
    <row r="54">
      <c r="A54" s="39" t="inlineStr">
        <is>
          <t>2024-06-23</t>
        </is>
      </c>
      <c r="B54" s="18" t="inlineStr">
        <is>
          <t>EMEA</t>
        </is>
      </c>
      <c r="C54" s="18" t="inlineStr">
        <is>
          <t>Alerts add-on</t>
        </is>
      </c>
      <c r="D54" s="18" t="inlineStr">
        <is>
          <t>SMB</t>
        </is>
      </c>
      <c r="E54" s="18" t="inlineStr">
        <is>
          <t>B. Lindqvist</t>
        </is>
      </c>
      <c r="F54" s="20" t="n">
        <v>38000</v>
      </c>
      <c r="G54" s="34" t="inlineStr">
        <is>
          <t>Ramped deal, year one</t>
        </is>
      </c>
    </row>
    <row r="55">
      <c r="A55" s="39" t="inlineStr">
        <is>
          <t>2024-06-30</t>
        </is>
      </c>
      <c r="B55" s="18" t="inlineStr">
        <is>
          <t>EMEA</t>
        </is>
      </c>
      <c r="C55" s="18" t="inlineStr">
        <is>
          <t>Embedded Reports</t>
        </is>
      </c>
      <c r="D55" s="18" t="inlineStr">
        <is>
          <t>SMB</t>
        </is>
      </c>
      <c r="E55" s="18" t="inlineStr">
        <is>
          <t>E. Nakamura</t>
        </is>
      </c>
      <c r="F55" s="20" t="n">
        <v>21600</v>
      </c>
      <c r="G55" s="34" t="inlineStr">
        <is>
          <t>Pilot converted</t>
        </is>
      </c>
    </row>
    <row r="56">
      <c r="A56" s="39" t="inlineStr">
        <is>
          <t>2024-06-07</t>
        </is>
      </c>
      <c r="B56" s="18" t="inlineStr">
        <is>
          <t>LATAM</t>
        </is>
      </c>
      <c r="C56" s="18" t="inlineStr">
        <is>
          <t>Signal Core</t>
        </is>
      </c>
      <c r="D56" s="18" t="inlineStr">
        <is>
          <t>Enterprise</t>
        </is>
      </c>
      <c r="E56" s="18" t="inlineStr">
        <is>
          <t>K. Sørensen</t>
        </is>
      </c>
      <c r="F56" s="20" t="n">
        <v>30400</v>
      </c>
      <c r="G56" s="34" t="inlineStr">
        <is>
          <t>Renewal uplift 7%</t>
        </is>
      </c>
    </row>
    <row r="57">
      <c r="A57" s="39" t="inlineStr">
        <is>
          <t>2024-06-14</t>
        </is>
      </c>
      <c r="B57" s="18" t="inlineStr">
        <is>
          <t>AMER East</t>
        </is>
      </c>
      <c r="C57" s="18" t="inlineStr">
        <is>
          <t>Embedded Reports</t>
        </is>
      </c>
      <c r="D57" s="18" t="inlineStr">
        <is>
          <t>Mid-market</t>
        </is>
      </c>
      <c r="E57" s="18" t="inlineStr">
        <is>
          <t>F. Duarte</t>
        </is>
      </c>
      <c r="F57" s="20" t="n">
        <v>27300</v>
      </c>
      <c r="G57" s="34" t="inlineStr">
        <is>
          <t>Renewal uplift 7%</t>
        </is>
      </c>
    </row>
    <row r="58">
      <c r="A58" s="39" t="inlineStr">
        <is>
          <t>2024-06-21</t>
        </is>
      </c>
      <c r="B58" s="18" t="inlineStr">
        <is>
          <t>LATAM</t>
        </is>
      </c>
      <c r="C58" s="18" t="inlineStr">
        <is>
          <t>Embedded Reports</t>
        </is>
      </c>
      <c r="D58" s="18" t="inlineStr">
        <is>
          <t>Mid-market</t>
        </is>
      </c>
      <c r="E58" s="18" t="inlineStr">
        <is>
          <t>B. Lindqvist</t>
        </is>
      </c>
      <c r="F58" s="20" t="n">
        <v>150300</v>
      </c>
      <c r="G58" s="34" t="inlineStr">
        <is>
          <t>Pilot converted</t>
        </is>
      </c>
    </row>
    <row r="59">
      <c r="A59" s="39" t="inlineStr">
        <is>
          <t>2024-06-28</t>
        </is>
      </c>
      <c r="B59" s="18" t="inlineStr">
        <is>
          <t>APAC</t>
        </is>
      </c>
      <c r="C59" s="18" t="inlineStr">
        <is>
          <t>Signal Core</t>
        </is>
      </c>
      <c r="D59" s="18" t="inlineStr">
        <is>
          <t>Enterprise</t>
        </is>
      </c>
      <c r="E59" s="18" t="inlineStr">
        <is>
          <t>G. Halloran</t>
        </is>
      </c>
      <c r="F59" s="20" t="n">
        <v>12900</v>
      </c>
      <c r="G59" s="34" t="inlineStr">
        <is>
          <t>Multi-year prepay</t>
        </is>
      </c>
    </row>
    <row r="60">
      <c r="A60" s="39" t="inlineStr">
        <is>
          <t>2024-06-05</t>
        </is>
      </c>
      <c r="B60" s="18" t="inlineStr">
        <is>
          <t>AMER East</t>
        </is>
      </c>
      <c r="C60" s="18" t="inlineStr">
        <is>
          <t>Alerts add-on</t>
        </is>
      </c>
      <c r="D60" s="18" t="inlineStr">
        <is>
          <t>Mid-market</t>
        </is>
      </c>
      <c r="E60" s="18" t="inlineStr">
        <is>
          <t>A. Okafor</t>
        </is>
      </c>
      <c r="F60" s="20" t="n">
        <v>66700</v>
      </c>
      <c r="G60" s="34" t="inlineStr">
        <is>
          <t>Pilot converted</t>
        </is>
      </c>
    </row>
    <row r="61">
      <c r="A61" s="39" t="inlineStr">
        <is>
          <t>2024-06-12</t>
        </is>
      </c>
      <c r="B61" s="18" t="inlineStr">
        <is>
          <t>APAC</t>
        </is>
      </c>
      <c r="C61" s="18" t="inlineStr">
        <is>
          <t>Signal Core</t>
        </is>
      </c>
      <c r="D61" s="18" t="inlineStr">
        <is>
          <t>Mid-market</t>
        </is>
      </c>
      <c r="E61" s="18" t="inlineStr">
        <is>
          <t>K. Sørensen</t>
        </is>
      </c>
      <c r="F61" s="20" t="n">
        <v>8200</v>
      </c>
      <c r="G61" s="34" t="inlineStr">
        <is>
          <t>Multi-year prepay</t>
        </is>
      </c>
    </row>
    <row r="62">
      <c r="A62" s="39" t="inlineStr">
        <is>
          <t>2024-06-19</t>
        </is>
      </c>
      <c r="B62" s="18" t="inlineStr">
        <is>
          <t>AMER West</t>
        </is>
      </c>
      <c r="C62" s="18" t="inlineStr">
        <is>
          <t>Signal Pro</t>
        </is>
      </c>
      <c r="D62" s="18" t="inlineStr">
        <is>
          <t>Enterprise</t>
        </is>
      </c>
      <c r="E62" s="18" t="inlineStr">
        <is>
          <t>A. Okafor</t>
        </is>
      </c>
      <c r="F62" s="20" t="n">
        <v>154600</v>
      </c>
      <c r="G62" s="34" t="inlineStr">
        <is>
          <t>Partner-sourced</t>
        </is>
      </c>
    </row>
    <row r="63">
      <c r="A63" s="39" t="inlineStr">
        <is>
          <t>2024-06-26</t>
        </is>
      </c>
      <c r="B63" s="18" t="inlineStr">
        <is>
          <t>APAC</t>
        </is>
      </c>
      <c r="C63" s="18" t="inlineStr">
        <is>
          <t>Signal Pro</t>
        </is>
      </c>
      <c r="D63" s="18" t="inlineStr">
        <is>
          <t>Mid-market</t>
        </is>
      </c>
      <c r="E63" s="18" t="inlineStr">
        <is>
          <t>G. Halloran</t>
        </is>
      </c>
      <c r="F63" s="20" t="n">
        <v>42900</v>
      </c>
      <c r="G63" s="34" t="inlineStr">
        <is>
          <t>Renewal uplift 7%</t>
        </is>
      </c>
    </row>
    <row r="64">
      <c r="A64" s="39" t="inlineStr">
        <is>
          <t>2024-06-03</t>
        </is>
      </c>
      <c r="B64" s="18" t="inlineStr">
        <is>
          <t>AMER East</t>
        </is>
      </c>
      <c r="C64" s="18" t="inlineStr">
        <is>
          <t>Signal Core</t>
        </is>
      </c>
      <c r="D64" s="18" t="inlineStr">
        <is>
          <t>SMB</t>
        </is>
      </c>
      <c r="E64" s="18" t="inlineStr">
        <is>
          <t>D. Chatterjee</t>
        </is>
      </c>
      <c r="F64" s="20" t="n">
        <v>73500</v>
      </c>
      <c r="G64" s="34" t="inlineStr">
        <is>
          <t>Competitive displacement</t>
        </is>
      </c>
    </row>
    <row r="65">
      <c r="A65" s="39" t="inlineStr">
        <is>
          <t>2024-06-10</t>
        </is>
      </c>
      <c r="B65" s="18" t="inlineStr">
        <is>
          <t>APAC</t>
        </is>
      </c>
      <c r="C65" s="18" t="inlineStr">
        <is>
          <t>Signal Core</t>
        </is>
      </c>
      <c r="D65" s="18" t="inlineStr">
        <is>
          <t>Enterprise</t>
        </is>
      </c>
      <c r="E65" s="18" t="inlineStr">
        <is>
          <t>A. Okafor</t>
        </is>
      </c>
      <c r="F65" s="20" t="n">
        <v>93600</v>
      </c>
      <c r="G65" s="34" t="inlineStr">
        <is>
          <t>Ramped deal, year one</t>
        </is>
      </c>
    </row>
    <row r="66">
      <c r="A66" s="39" t="inlineStr">
        <is>
          <t>2024-06-17</t>
        </is>
      </c>
      <c r="B66" s="18" t="inlineStr">
        <is>
          <t>LATAM</t>
        </is>
      </c>
      <c r="C66" s="18" t="inlineStr">
        <is>
          <t>Signal Core</t>
        </is>
      </c>
      <c r="D66" s="18" t="inlineStr">
        <is>
          <t>Enterprise</t>
        </is>
      </c>
      <c r="E66" s="18" t="inlineStr">
        <is>
          <t>D. Chatterjee</t>
        </is>
      </c>
      <c r="F66" s="20" t="n">
        <v>68300</v>
      </c>
      <c r="G66" s="34" t="inlineStr">
        <is>
          <t>Standard list price</t>
        </is>
      </c>
    </row>
    <row r="67">
      <c r="A67" s="39" t="inlineStr">
        <is>
          <t>2024-06-24</t>
        </is>
      </c>
      <c r="B67" s="18" t="inlineStr">
        <is>
          <t>AMER East</t>
        </is>
      </c>
      <c r="C67" s="18" t="inlineStr">
        <is>
          <t>Alerts add-on</t>
        </is>
      </c>
      <c r="D67" s="18" t="inlineStr">
        <is>
          <t>Mid-market</t>
        </is>
      </c>
      <c r="E67" s="18" t="inlineStr">
        <is>
          <t>D. Chatterjee</t>
        </is>
      </c>
      <c r="F67" s="20" t="n">
        <v>36900</v>
      </c>
      <c r="G67" s="34" t="inlineStr">
        <is>
          <t>Pilot converted</t>
        </is>
      </c>
    </row>
    <row r="68">
      <c r="A68" s="39" t="inlineStr">
        <is>
          <t>2024-06-01</t>
        </is>
      </c>
      <c r="B68" s="18" t="inlineStr">
        <is>
          <t>AMER East</t>
        </is>
      </c>
      <c r="C68" s="18" t="inlineStr">
        <is>
          <t>Warehouse Connect</t>
        </is>
      </c>
      <c r="D68" s="18" t="inlineStr">
        <is>
          <t>Mid-market</t>
        </is>
      </c>
      <c r="E68" s="18" t="inlineStr">
        <is>
          <t>E. Nakamura</t>
        </is>
      </c>
      <c r="F68" s="20" t="n">
        <v>41900</v>
      </c>
      <c r="G68" s="34" t="inlineStr">
        <is>
          <t>Ramped deal, year one</t>
        </is>
      </c>
    </row>
    <row r="69">
      <c r="A69" s="39" t="inlineStr">
        <is>
          <t>2024-06-08</t>
        </is>
      </c>
      <c r="B69" s="18" t="inlineStr">
        <is>
          <t>APAC</t>
        </is>
      </c>
      <c r="C69" s="18" t="inlineStr">
        <is>
          <t>Signal Core</t>
        </is>
      </c>
      <c r="D69" s="18" t="inlineStr">
        <is>
          <t>Mid-market</t>
        </is>
      </c>
      <c r="E69" s="18" t="inlineStr">
        <is>
          <t>C. Marín</t>
        </is>
      </c>
      <c r="F69" s="20" t="n">
        <v>62100</v>
      </c>
      <c r="G69" s="34" t="inlineStr">
        <is>
          <t>Partner-sourced</t>
        </is>
      </c>
    </row>
    <row r="70">
      <c r="A70" s="39" t="inlineStr">
        <is>
          <t>2024-06-15</t>
        </is>
      </c>
      <c r="B70" s="18" t="inlineStr">
        <is>
          <t>AMER East</t>
        </is>
      </c>
      <c r="C70" s="18" t="inlineStr">
        <is>
          <t>Embedded Reports</t>
        </is>
      </c>
      <c r="D70" s="18" t="inlineStr">
        <is>
          <t>SMB</t>
        </is>
      </c>
      <c r="E70" s="18" t="inlineStr">
        <is>
          <t>A. Okafor</t>
        </is>
      </c>
      <c r="F70" s="20" t="n">
        <v>62000</v>
      </c>
      <c r="G70" s="34" t="inlineStr">
        <is>
          <t>Multi-year prepay</t>
        </is>
      </c>
    </row>
    <row r="71">
      <c r="A71" s="39" t="inlineStr">
        <is>
          <t>2024-06-22</t>
        </is>
      </c>
      <c r="B71" s="18" t="inlineStr">
        <is>
          <t>AMER West</t>
        </is>
      </c>
      <c r="C71" s="18" t="inlineStr">
        <is>
          <t>Signal Core</t>
        </is>
      </c>
      <c r="D71" s="18" t="inlineStr">
        <is>
          <t>SMB</t>
        </is>
      </c>
      <c r="E71" s="18" t="inlineStr">
        <is>
          <t>B. Lindqvist</t>
        </is>
      </c>
      <c r="F71" s="20" t="n">
        <v>60500</v>
      </c>
      <c r="G71" s="34" t="inlineStr">
        <is>
          <t>Standard list price</t>
        </is>
      </c>
    </row>
    <row r="72">
      <c r="A72" s="39" t="inlineStr">
        <is>
          <t>2024-06-29</t>
        </is>
      </c>
      <c r="B72" s="18" t="inlineStr">
        <is>
          <t>AMER East</t>
        </is>
      </c>
      <c r="C72" s="18" t="inlineStr">
        <is>
          <t>Signal Core</t>
        </is>
      </c>
      <c r="D72" s="18" t="inlineStr">
        <is>
          <t>SMB</t>
        </is>
      </c>
      <c r="E72" s="18" t="inlineStr">
        <is>
          <t>D. Chatterjee</t>
        </is>
      </c>
      <c r="F72" s="20" t="n">
        <v>12600</v>
      </c>
      <c r="G72" s="34" t="inlineStr">
        <is>
          <t>Partner-sourced</t>
        </is>
      </c>
    </row>
    <row r="73">
      <c r="A73" s="39" t="inlineStr">
        <is>
          <t>2024-06-06</t>
        </is>
      </c>
      <c r="B73" s="18" t="inlineStr">
        <is>
          <t>AMER East</t>
        </is>
      </c>
      <c r="C73" s="18" t="inlineStr">
        <is>
          <t>Alerts add-on</t>
        </is>
      </c>
      <c r="D73" s="18" t="inlineStr">
        <is>
          <t>Enterprise</t>
        </is>
      </c>
      <c r="E73" s="18" t="inlineStr">
        <is>
          <t>E. Nakamura</t>
        </is>
      </c>
      <c r="F73" s="20" t="n">
        <v>71900</v>
      </c>
      <c r="G73" s="34" t="inlineStr">
        <is>
          <t>Partner-sourced</t>
        </is>
      </c>
    </row>
    <row r="74">
      <c r="A74" s="39" t="inlineStr">
        <is>
          <t>2024-06-13</t>
        </is>
      </c>
      <c r="B74" s="18" t="inlineStr">
        <is>
          <t>AMER West</t>
        </is>
      </c>
      <c r="C74" s="18" t="inlineStr">
        <is>
          <t>Embedded Reports</t>
        </is>
      </c>
      <c r="D74" s="18" t="inlineStr">
        <is>
          <t>Enterprise</t>
        </is>
      </c>
      <c r="E74" s="18" t="inlineStr">
        <is>
          <t>H. Vasquez</t>
        </is>
      </c>
      <c r="F74" s="20" t="n">
        <v>28500</v>
      </c>
      <c r="G74" s="34" t="inlineStr">
        <is>
          <t>Co-term with parent</t>
        </is>
      </c>
    </row>
    <row r="75">
      <c r="A75" s="39" t="inlineStr">
        <is>
          <t>2024-06-20</t>
        </is>
      </c>
      <c r="B75" s="18" t="inlineStr">
        <is>
          <t>AMER West</t>
        </is>
      </c>
      <c r="C75" s="18" t="inlineStr">
        <is>
          <t>Embedded Reports</t>
        </is>
      </c>
      <c r="D75" s="18" t="inlineStr">
        <is>
          <t>Enterprise</t>
        </is>
      </c>
      <c r="E75" s="18" t="inlineStr">
        <is>
          <t>J. Adeyemi</t>
        </is>
      </c>
      <c r="F75" s="20" t="n">
        <v>32600</v>
      </c>
      <c r="G75" s="34" t="inlineStr">
        <is>
          <t>Partner-sourced</t>
        </is>
      </c>
    </row>
    <row r="76">
      <c r="A76" s="39" t="inlineStr">
        <is>
          <t>2024-06-27</t>
        </is>
      </c>
      <c r="B76" s="18" t="inlineStr">
        <is>
          <t>EMEA</t>
        </is>
      </c>
      <c r="C76" s="18" t="inlineStr">
        <is>
          <t>Warehouse Connect</t>
        </is>
      </c>
      <c r="D76" s="18" t="inlineStr">
        <is>
          <t>Mid-market</t>
        </is>
      </c>
      <c r="E76" s="18" t="inlineStr">
        <is>
          <t>G. Halloran</t>
        </is>
      </c>
      <c r="F76" s="20" t="n">
        <v>67900</v>
      </c>
      <c r="G76" s="34" t="inlineStr">
        <is>
          <t>Pilot converted</t>
        </is>
      </c>
    </row>
    <row r="77">
      <c r="A77" s="39" t="inlineStr">
        <is>
          <t>2024-06-04</t>
        </is>
      </c>
      <c r="B77" s="18" t="inlineStr">
        <is>
          <t>AMER West</t>
        </is>
      </c>
      <c r="C77" s="18" t="inlineStr">
        <is>
          <t>Signal Core</t>
        </is>
      </c>
      <c r="D77" s="18" t="inlineStr">
        <is>
          <t>SMB</t>
        </is>
      </c>
      <c r="E77" s="18" t="inlineStr">
        <is>
          <t>B. Lindqvist</t>
        </is>
      </c>
      <c r="F77" s="20" t="n">
        <v>62400</v>
      </c>
      <c r="G77" s="34" t="inlineStr">
        <is>
          <t>Renewal uplift 7%</t>
        </is>
      </c>
    </row>
    <row r="78">
      <c r="A78" s="39" t="inlineStr">
        <is>
          <t>2024-06-11</t>
        </is>
      </c>
      <c r="B78" s="18" t="inlineStr">
        <is>
          <t>AMER West</t>
        </is>
      </c>
      <c r="C78" s="18" t="inlineStr">
        <is>
          <t>Signal Core</t>
        </is>
      </c>
      <c r="D78" s="18" t="inlineStr">
        <is>
          <t>SMB</t>
        </is>
      </c>
      <c r="E78" s="18" t="inlineStr">
        <is>
          <t>A. Okafor</t>
        </is>
      </c>
      <c r="F78" s="20" t="n">
        <v>122400</v>
      </c>
      <c r="G78" s="34" t="inlineStr">
        <is>
          <t>Partner-sourced</t>
        </is>
      </c>
    </row>
    <row r="79">
      <c r="A79" s="39" t="inlineStr">
        <is>
          <t>2024-06-18</t>
        </is>
      </c>
      <c r="B79" s="18" t="inlineStr">
        <is>
          <t>EMEA</t>
        </is>
      </c>
      <c r="C79" s="18" t="inlineStr">
        <is>
          <t>Signal Pro</t>
        </is>
      </c>
      <c r="D79" s="18" t="inlineStr">
        <is>
          <t>Mid-market</t>
        </is>
      </c>
      <c r="E79" s="18" t="inlineStr">
        <is>
          <t>D. Chatterjee</t>
        </is>
      </c>
      <c r="F79" s="20" t="n">
        <v>31100</v>
      </c>
      <c r="G79" s="34" t="inlineStr">
        <is>
          <t>Multi-year prepay</t>
        </is>
      </c>
    </row>
    <row r="80">
      <c r="A80" s="39" t="inlineStr">
        <is>
          <t>2024-06-25</t>
        </is>
      </c>
      <c r="B80" s="18" t="inlineStr">
        <is>
          <t>AMER West</t>
        </is>
      </c>
      <c r="C80" s="18" t="inlineStr">
        <is>
          <t>Signal Core</t>
        </is>
      </c>
      <c r="D80" s="18" t="inlineStr">
        <is>
          <t>SMB</t>
        </is>
      </c>
      <c r="E80" s="18" t="inlineStr">
        <is>
          <t>D. Chatterjee</t>
        </is>
      </c>
      <c r="F80" s="20" t="n">
        <v>145400</v>
      </c>
      <c r="G80" s="34" t="inlineStr">
        <is>
          <t>Ramped deal, year one</t>
        </is>
      </c>
    </row>
    <row r="81">
      <c r="A81" s="39" t="inlineStr">
        <is>
          <t>2024-06-02</t>
        </is>
      </c>
      <c r="B81" s="18" t="inlineStr">
        <is>
          <t>AMER West</t>
        </is>
      </c>
      <c r="C81" s="18" t="inlineStr">
        <is>
          <t>Signal Core</t>
        </is>
      </c>
      <c r="D81" s="18" t="inlineStr">
        <is>
          <t>SMB</t>
        </is>
      </c>
      <c r="E81" s="18" t="inlineStr">
        <is>
          <t>D. Chatterjee</t>
        </is>
      </c>
      <c r="F81" s="20" t="n">
        <v>35000</v>
      </c>
      <c r="G81" s="34" t="inlineStr">
        <is>
          <t>Pilot converted</t>
        </is>
      </c>
    </row>
    <row r="82">
      <c r="A82" s="39" t="inlineStr">
        <is>
          <t>2024-06-09</t>
        </is>
      </c>
      <c r="B82" s="18" t="inlineStr">
        <is>
          <t>EMEA</t>
        </is>
      </c>
      <c r="C82" s="18" t="inlineStr">
        <is>
          <t>Embedded Reports</t>
        </is>
      </c>
      <c r="D82" s="18" t="inlineStr">
        <is>
          <t>SMB</t>
        </is>
      </c>
      <c r="E82" s="18" t="inlineStr">
        <is>
          <t>D. Chatterjee</t>
        </is>
      </c>
      <c r="F82" s="20" t="n">
        <v>37200</v>
      </c>
      <c r="G82" s="34" t="inlineStr">
        <is>
          <t>Renewal uplift 7%</t>
        </is>
      </c>
    </row>
    <row r="83">
      <c r="A83" s="39" t="inlineStr">
        <is>
          <t>2024-06-16</t>
        </is>
      </c>
      <c r="B83" s="18" t="inlineStr">
        <is>
          <t>APAC</t>
        </is>
      </c>
      <c r="C83" s="18" t="inlineStr">
        <is>
          <t>Signal Pro</t>
        </is>
      </c>
      <c r="D83" s="18" t="inlineStr">
        <is>
          <t>SMB</t>
        </is>
      </c>
      <c r="E83" s="18" t="inlineStr">
        <is>
          <t>E. Nakamura</t>
        </is>
      </c>
      <c r="F83" s="20" t="n">
        <v>67000</v>
      </c>
      <c r="G83" s="34" t="inlineStr">
        <is>
          <t>Co-term with parent</t>
        </is>
      </c>
    </row>
    <row r="84">
      <c r="A84" s="39" t="inlineStr">
        <is>
          <t>2024-06-23</t>
        </is>
      </c>
      <c r="B84" s="18" t="inlineStr">
        <is>
          <t>APAC</t>
        </is>
      </c>
      <c r="C84" s="18" t="inlineStr">
        <is>
          <t>Signal Core</t>
        </is>
      </c>
      <c r="D84" s="18" t="inlineStr">
        <is>
          <t>Mid-market</t>
        </is>
      </c>
      <c r="E84" s="18" t="inlineStr">
        <is>
          <t>K. Sørensen</t>
        </is>
      </c>
      <c r="F84" s="20" t="n">
        <v>63300</v>
      </c>
      <c r="G84" s="34" t="inlineStr">
        <is>
          <t>Pilot converted</t>
        </is>
      </c>
    </row>
    <row r="85">
      <c r="A85" s="39" t="inlineStr">
        <is>
          <t>2024-06-30</t>
        </is>
      </c>
      <c r="B85" s="18" t="inlineStr">
        <is>
          <t>LATAM</t>
        </is>
      </c>
      <c r="C85" s="18" t="inlineStr">
        <is>
          <t>Signal Core</t>
        </is>
      </c>
      <c r="D85" s="18" t="inlineStr">
        <is>
          <t>Enterprise</t>
        </is>
      </c>
      <c r="E85" s="18" t="inlineStr">
        <is>
          <t>D. Chatterjee</t>
        </is>
      </c>
      <c r="F85" s="20" t="n">
        <v>24200</v>
      </c>
      <c r="G85" s="34" t="inlineStr">
        <is>
          <t>Renewal uplift 7%</t>
        </is>
      </c>
    </row>
    <row r="86">
      <c r="A86" s="39" t="inlineStr">
        <is>
          <t>2024-06-07</t>
        </is>
      </c>
      <c r="B86" s="18" t="inlineStr">
        <is>
          <t>EMEA</t>
        </is>
      </c>
      <c r="C86" s="18" t="inlineStr">
        <is>
          <t>Alerts add-on</t>
        </is>
      </c>
      <c r="D86" s="18" t="inlineStr">
        <is>
          <t>SMB</t>
        </is>
      </c>
      <c r="E86" s="18" t="inlineStr">
        <is>
          <t>F. Duarte</t>
        </is>
      </c>
      <c r="F86" s="20" t="n">
        <v>41400</v>
      </c>
      <c r="G86" s="34" t="inlineStr">
        <is>
          <t>Partner-sourced</t>
        </is>
      </c>
    </row>
    <row r="87">
      <c r="A87" s="39" t="inlineStr">
        <is>
          <t>2024-06-14</t>
        </is>
      </c>
      <c r="B87" s="18" t="inlineStr">
        <is>
          <t>APAC</t>
        </is>
      </c>
      <c r="C87" s="18" t="inlineStr">
        <is>
          <t>Alerts add-on</t>
        </is>
      </c>
      <c r="D87" s="18" t="inlineStr">
        <is>
          <t>Mid-market</t>
        </is>
      </c>
      <c r="E87" s="18" t="inlineStr">
        <is>
          <t>E. Nakamura</t>
        </is>
      </c>
      <c r="F87" s="20" t="n">
        <v>56200</v>
      </c>
      <c r="G87" s="34" t="inlineStr">
        <is>
          <t>Ramped deal, year one</t>
        </is>
      </c>
    </row>
    <row r="88">
      <c r="A88" s="39" t="inlineStr">
        <is>
          <t>2024-06-21</t>
        </is>
      </c>
      <c r="B88" s="18" t="inlineStr">
        <is>
          <t>EMEA</t>
        </is>
      </c>
      <c r="C88" s="18" t="inlineStr">
        <is>
          <t>Signal Core</t>
        </is>
      </c>
      <c r="D88" s="18" t="inlineStr">
        <is>
          <t>SMB</t>
        </is>
      </c>
      <c r="E88" s="18" t="inlineStr">
        <is>
          <t>B. Lindqvist</t>
        </is>
      </c>
      <c r="F88" s="20" t="n">
        <v>61900</v>
      </c>
      <c r="G88" s="34" t="inlineStr">
        <is>
          <t>Multi-year prepay</t>
        </is>
      </c>
    </row>
    <row r="89">
      <c r="A89" s="39" t="inlineStr">
        <is>
          <t>2024-06-28</t>
        </is>
      </c>
      <c r="B89" s="18" t="inlineStr">
        <is>
          <t>LATAM</t>
        </is>
      </c>
      <c r="C89" s="18" t="inlineStr">
        <is>
          <t>Signal Pro</t>
        </is>
      </c>
      <c r="D89" s="18" t="inlineStr">
        <is>
          <t>SMB</t>
        </is>
      </c>
      <c r="E89" s="18" t="inlineStr">
        <is>
          <t>J. Adeyemi</t>
        </is>
      </c>
      <c r="F89" s="20" t="n">
        <v>163800</v>
      </c>
      <c r="G89" s="34" t="inlineStr">
        <is>
          <t>Co-term with parent</t>
        </is>
      </c>
    </row>
    <row r="90">
      <c r="A90" s="39" t="inlineStr">
        <is>
          <t>2024-06-05</t>
        </is>
      </c>
      <c r="B90" s="18" t="inlineStr">
        <is>
          <t>AMER West</t>
        </is>
      </c>
      <c r="C90" s="18" t="inlineStr">
        <is>
          <t>Signal Core</t>
        </is>
      </c>
      <c r="D90" s="18" t="inlineStr">
        <is>
          <t>Enterprise</t>
        </is>
      </c>
      <c r="E90" s="18" t="inlineStr">
        <is>
          <t>F. Duarte</t>
        </is>
      </c>
      <c r="F90" s="20" t="n">
        <v>31500</v>
      </c>
      <c r="G90" s="34" t="inlineStr">
        <is>
          <t>Competitive displacement</t>
        </is>
      </c>
    </row>
    <row r="91">
      <c r="A91" s="39" t="inlineStr">
        <is>
          <t>2024-06-12</t>
        </is>
      </c>
      <c r="B91" s="18" t="inlineStr">
        <is>
          <t>AMER West</t>
        </is>
      </c>
      <c r="C91" s="18" t="inlineStr">
        <is>
          <t>Embedded Reports</t>
        </is>
      </c>
      <c r="D91" s="18" t="inlineStr">
        <is>
          <t>SMB</t>
        </is>
      </c>
      <c r="E91" s="18" t="inlineStr">
        <is>
          <t>A. Okafor</t>
        </is>
      </c>
      <c r="F91" s="20" t="n">
        <v>43900</v>
      </c>
      <c r="G91" s="34" t="inlineStr">
        <is>
          <t>Competitive displacement</t>
        </is>
      </c>
    </row>
    <row r="92">
      <c r="A92" s="39" t="inlineStr">
        <is>
          <t>2024-06-19</t>
        </is>
      </c>
      <c r="B92" s="18" t="inlineStr">
        <is>
          <t>AMER East</t>
        </is>
      </c>
      <c r="C92" s="18" t="inlineStr">
        <is>
          <t>Warehouse Connect</t>
        </is>
      </c>
      <c r="D92" s="18" t="inlineStr">
        <is>
          <t>SMB</t>
        </is>
      </c>
      <c r="E92" s="18" t="inlineStr">
        <is>
          <t>E. Nakamura</t>
        </is>
      </c>
      <c r="F92" s="20" t="n">
        <v>7100</v>
      </c>
      <c r="G92" s="34" t="inlineStr">
        <is>
          <t>Ramped deal, year one</t>
        </is>
      </c>
    </row>
    <row r="93">
      <c r="A93" s="39" t="inlineStr">
        <is>
          <t>2024-06-26</t>
        </is>
      </c>
      <c r="B93" s="18" t="inlineStr">
        <is>
          <t>EMEA</t>
        </is>
      </c>
      <c r="C93" s="18" t="inlineStr">
        <is>
          <t>Warehouse Connect</t>
        </is>
      </c>
      <c r="D93" s="18" t="inlineStr">
        <is>
          <t>SMB</t>
        </is>
      </c>
      <c r="E93" s="18" t="inlineStr">
        <is>
          <t>H. Vasquez</t>
        </is>
      </c>
      <c r="F93" s="20" t="n">
        <v>108400</v>
      </c>
      <c r="G93" s="34" t="inlineStr">
        <is>
          <t>Co-term with parent</t>
        </is>
      </c>
    </row>
    <row r="94">
      <c r="A94" s="39" t="inlineStr">
        <is>
          <t>2024-06-03</t>
        </is>
      </c>
      <c r="B94" s="18" t="inlineStr">
        <is>
          <t>APAC</t>
        </is>
      </c>
      <c r="C94" s="18" t="inlineStr">
        <is>
          <t>Embedded Reports</t>
        </is>
      </c>
      <c r="D94" s="18" t="inlineStr">
        <is>
          <t>Enterprise</t>
        </is>
      </c>
      <c r="E94" s="18" t="inlineStr">
        <is>
          <t>C. Marín</t>
        </is>
      </c>
      <c r="F94" s="20" t="n">
        <v>74900</v>
      </c>
      <c r="G94" s="34" t="inlineStr">
        <is>
          <t>Partner-sourced</t>
        </is>
      </c>
    </row>
    <row r="95">
      <c r="A95" s="39" t="inlineStr">
        <is>
          <t>2024-06-10</t>
        </is>
      </c>
      <c r="B95" s="18" t="inlineStr">
        <is>
          <t>EMEA</t>
        </is>
      </c>
      <c r="C95" s="18" t="inlineStr">
        <is>
          <t>Warehouse Connect</t>
        </is>
      </c>
      <c r="D95" s="18" t="inlineStr">
        <is>
          <t>SMB</t>
        </is>
      </c>
      <c r="E95" s="18" t="inlineStr">
        <is>
          <t>A. Okafor</t>
        </is>
      </c>
      <c r="F95" s="20" t="n">
        <v>25200</v>
      </c>
      <c r="G95" s="34" t="inlineStr">
        <is>
          <t>Pilot converted</t>
        </is>
      </c>
    </row>
    <row r="96">
      <c r="A96" s="39" t="inlineStr">
        <is>
          <t>2024-06-17</t>
        </is>
      </c>
      <c r="B96" s="18" t="inlineStr">
        <is>
          <t>AMER West</t>
        </is>
      </c>
      <c r="C96" s="18" t="inlineStr">
        <is>
          <t>Signal Pro</t>
        </is>
      </c>
      <c r="D96" s="18" t="inlineStr">
        <is>
          <t>Enterprise</t>
        </is>
      </c>
      <c r="E96" s="18" t="inlineStr">
        <is>
          <t>H. Vasquez</t>
        </is>
      </c>
      <c r="F96" s="20" t="n">
        <v>14100</v>
      </c>
      <c r="G96" s="34" t="inlineStr">
        <is>
          <t>Competitive displacement</t>
        </is>
      </c>
    </row>
    <row r="97">
      <c r="A97" s="39" t="inlineStr">
        <is>
          <t>2024-06-24</t>
        </is>
      </c>
      <c r="B97" s="18" t="inlineStr">
        <is>
          <t>AMER West</t>
        </is>
      </c>
      <c r="C97" s="18" t="inlineStr">
        <is>
          <t>Alerts add-on</t>
        </is>
      </c>
      <c r="D97" s="18" t="inlineStr">
        <is>
          <t>Enterprise</t>
        </is>
      </c>
      <c r="E97" s="18" t="inlineStr">
        <is>
          <t>G. Halloran</t>
        </is>
      </c>
      <c r="F97" s="20" t="n">
        <v>69200</v>
      </c>
      <c r="G97" s="34" t="inlineStr">
        <is>
          <t>Multi-year prepay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2024-07-22</t>
        </is>
      </c>
      <c r="B2" s="18" t="inlineStr">
        <is>
          <t>APAC</t>
        </is>
      </c>
      <c r="C2" s="18" t="inlineStr">
        <is>
          <t>Signal Core</t>
        </is>
      </c>
      <c r="D2" s="18" t="inlineStr">
        <is>
          <t>Enterprise</t>
        </is>
      </c>
      <c r="E2" s="18" t="inlineStr">
        <is>
          <t>F. Duarte</t>
        </is>
      </c>
      <c r="F2" s="20" t="n">
        <v>59500</v>
      </c>
      <c r="G2" s="34" t="inlineStr">
        <is>
          <t>Rebate carried from legacy 10% promo</t>
        </is>
      </c>
    </row>
    <row r="3">
      <c r="A3" s="39" t="inlineStr">
        <is>
          <t>2024-07-29</t>
        </is>
      </c>
      <c r="B3" s="18" t="inlineStr">
        <is>
          <t>APAC</t>
        </is>
      </c>
      <c r="C3" s="18" t="inlineStr">
        <is>
          <t>Signal Pro</t>
        </is>
      </c>
      <c r="D3" s="18" t="inlineStr">
        <is>
          <t>Mid-market</t>
        </is>
      </c>
      <c r="E3" s="18" t="inlineStr">
        <is>
          <t>H. Vasquez</t>
        </is>
      </c>
      <c r="F3" s="20" t="n">
        <v>56500</v>
      </c>
      <c r="G3" s="34" t="inlineStr">
        <is>
          <t>Ramped deal, year one</t>
        </is>
      </c>
    </row>
    <row r="4">
      <c r="A4" s="39" t="inlineStr">
        <is>
          <t>2024-07-05</t>
        </is>
      </c>
      <c r="B4" s="18" t="inlineStr">
        <is>
          <t>LATAM</t>
        </is>
      </c>
      <c r="C4" s="18" t="inlineStr">
        <is>
          <t>Signal Pro</t>
        </is>
      </c>
      <c r="D4" s="18" t="inlineStr">
        <is>
          <t>Enterprise</t>
        </is>
      </c>
      <c r="E4" s="18" t="inlineStr">
        <is>
          <t>F. Duarte</t>
        </is>
      </c>
      <c r="F4" s="20" t="n">
        <v>56400</v>
      </c>
      <c r="G4" s="34" t="inlineStr">
        <is>
          <t>Standard list price</t>
        </is>
      </c>
    </row>
    <row r="5">
      <c r="A5" s="39" t="inlineStr">
        <is>
          <t>2024-07-12</t>
        </is>
      </c>
      <c r="B5" s="18" t="inlineStr">
        <is>
          <t>APAC</t>
        </is>
      </c>
      <c r="C5" s="18" t="inlineStr">
        <is>
          <t>Embedded Reports</t>
        </is>
      </c>
      <c r="D5" s="18" t="inlineStr">
        <is>
          <t>Mid-market</t>
        </is>
      </c>
      <c r="E5" s="18" t="inlineStr">
        <is>
          <t>E. Nakamura</t>
        </is>
      </c>
      <c r="F5" s="20" t="n">
        <v>43700</v>
      </c>
      <c r="G5" s="34" t="inlineStr">
        <is>
          <t>Multi-year prepay</t>
        </is>
      </c>
    </row>
    <row r="6">
      <c r="A6" s="39" t="inlineStr">
        <is>
          <t>2024-07-19</t>
        </is>
      </c>
      <c r="B6" s="18" t="inlineStr">
        <is>
          <t>EMEA</t>
        </is>
      </c>
      <c r="C6" s="18" t="inlineStr">
        <is>
          <t>Signal Pro</t>
        </is>
      </c>
      <c r="D6" s="18" t="inlineStr">
        <is>
          <t>Mid-market</t>
        </is>
      </c>
      <c r="E6" s="18" t="inlineStr">
        <is>
          <t>C. Marín</t>
        </is>
      </c>
      <c r="F6" s="20" t="n">
        <v>8800</v>
      </c>
      <c r="G6" s="34" t="inlineStr">
        <is>
          <t>Standard list price</t>
        </is>
      </c>
    </row>
    <row r="7">
      <c r="A7" s="39" t="inlineStr">
        <is>
          <t>2024-07-26</t>
        </is>
      </c>
      <c r="B7" s="18" t="inlineStr">
        <is>
          <t>EMEA</t>
        </is>
      </c>
      <c r="C7" s="18" t="inlineStr">
        <is>
          <t>Alerts add-on</t>
        </is>
      </c>
      <c r="D7" s="18" t="inlineStr">
        <is>
          <t>SMB</t>
        </is>
      </c>
      <c r="E7" s="18" t="inlineStr">
        <is>
          <t>B. Lindqvist</t>
        </is>
      </c>
      <c r="F7" s="20" t="n">
        <v>29600</v>
      </c>
      <c r="G7" s="34" t="inlineStr">
        <is>
          <t>Renewal uplift 7%</t>
        </is>
      </c>
    </row>
    <row r="8">
      <c r="A8" s="39" t="inlineStr">
        <is>
          <t>2024-07-02</t>
        </is>
      </c>
      <c r="B8" s="18" t="inlineStr">
        <is>
          <t>APAC</t>
        </is>
      </c>
      <c r="C8" s="18" t="inlineStr">
        <is>
          <t>Warehouse Connect</t>
        </is>
      </c>
      <c r="D8" s="18" t="inlineStr">
        <is>
          <t>Mid-market</t>
        </is>
      </c>
      <c r="E8" s="18" t="inlineStr">
        <is>
          <t>G. Halloran</t>
        </is>
      </c>
      <c r="F8" s="20" t="n">
        <v>105000</v>
      </c>
      <c r="G8" s="34" t="inlineStr">
        <is>
          <t>Standard list price</t>
        </is>
      </c>
    </row>
    <row r="9">
      <c r="A9" s="39" t="inlineStr">
        <is>
          <t>2024-07-09</t>
        </is>
      </c>
      <c r="B9" s="18" t="inlineStr">
        <is>
          <t>APAC</t>
        </is>
      </c>
      <c r="C9" s="18" t="inlineStr">
        <is>
          <t>Embedded Reports</t>
        </is>
      </c>
      <c r="D9" s="18" t="inlineStr">
        <is>
          <t>Enterprise</t>
        </is>
      </c>
      <c r="E9" s="18" t="inlineStr">
        <is>
          <t>J. Adeyemi</t>
        </is>
      </c>
      <c r="F9" s="20" t="n">
        <v>72800</v>
      </c>
      <c r="G9" s="34" t="inlineStr">
        <is>
          <t>Ramped deal, year one</t>
        </is>
      </c>
    </row>
    <row r="10">
      <c r="A10" s="39" t="inlineStr">
        <is>
          <t>2024-07-16</t>
        </is>
      </c>
      <c r="B10" s="18" t="inlineStr">
        <is>
          <t>AMER East</t>
        </is>
      </c>
      <c r="C10" s="18" t="inlineStr">
        <is>
          <t>Signal Pro</t>
        </is>
      </c>
      <c r="D10" s="18" t="inlineStr">
        <is>
          <t>SMB</t>
        </is>
      </c>
      <c r="E10" s="18" t="inlineStr">
        <is>
          <t>G. Halloran</t>
        </is>
      </c>
      <c r="F10" s="20" t="n">
        <v>190200</v>
      </c>
      <c r="G10" s="34" t="inlineStr">
        <is>
          <t>Pilot converted</t>
        </is>
      </c>
    </row>
    <row r="11">
      <c r="A11" s="39" t="inlineStr">
        <is>
          <t>2024-07-23</t>
        </is>
      </c>
      <c r="B11" s="18" t="inlineStr">
        <is>
          <t>AMER West</t>
        </is>
      </c>
      <c r="C11" s="18" t="inlineStr">
        <is>
          <t>Embedded Reports</t>
        </is>
      </c>
      <c r="D11" s="18" t="inlineStr">
        <is>
          <t>SMB</t>
        </is>
      </c>
      <c r="E11" s="18" t="inlineStr">
        <is>
          <t>C. Marín</t>
        </is>
      </c>
      <c r="F11" s="20" t="n">
        <v>43100</v>
      </c>
      <c r="G11" s="34" t="inlineStr">
        <is>
          <t>Ramped deal, year one</t>
        </is>
      </c>
    </row>
    <row r="12">
      <c r="A12" s="39" t="inlineStr">
        <is>
          <t>2024-07-30</t>
        </is>
      </c>
      <c r="B12" s="18" t="inlineStr">
        <is>
          <t>AMER West</t>
        </is>
      </c>
      <c r="C12" s="18" t="inlineStr">
        <is>
          <t>Warehouse Connect</t>
        </is>
      </c>
      <c r="D12" s="18" t="inlineStr">
        <is>
          <t>SMB</t>
        </is>
      </c>
      <c r="E12" s="18" t="inlineStr">
        <is>
          <t>H. Vasquez</t>
        </is>
      </c>
      <c r="F12" s="20" t="n">
        <v>117400</v>
      </c>
      <c r="G12" s="34" t="inlineStr">
        <is>
          <t>Standard list price</t>
        </is>
      </c>
    </row>
    <row r="13">
      <c r="A13" s="39" t="inlineStr">
        <is>
          <t>2024-07-06</t>
        </is>
      </c>
      <c r="B13" s="18" t="inlineStr">
        <is>
          <t>EMEA</t>
        </is>
      </c>
      <c r="C13" s="18" t="inlineStr">
        <is>
          <t>Embedded Reports</t>
        </is>
      </c>
      <c r="D13" s="18" t="inlineStr">
        <is>
          <t>Mid-market</t>
        </is>
      </c>
      <c r="E13" s="18" t="inlineStr">
        <is>
          <t>F. Duarte</t>
        </is>
      </c>
      <c r="F13" s="20" t="n">
        <v>58300</v>
      </c>
      <c r="G13" s="34" t="inlineStr">
        <is>
          <t>Multi-year prepay</t>
        </is>
      </c>
    </row>
    <row r="14">
      <c r="A14" s="39" t="inlineStr">
        <is>
          <t>2024-07-13</t>
        </is>
      </c>
      <c r="B14" s="18" t="inlineStr">
        <is>
          <t>AMER East</t>
        </is>
      </c>
      <c r="C14" s="18" t="inlineStr">
        <is>
          <t>Embedded Reports</t>
        </is>
      </c>
      <c r="D14" s="18" t="inlineStr">
        <is>
          <t>Enterprise</t>
        </is>
      </c>
      <c r="E14" s="18" t="inlineStr">
        <is>
          <t>A. Okafor</t>
        </is>
      </c>
      <c r="F14" s="20" t="n">
        <v>38300</v>
      </c>
      <c r="G14" s="34" t="inlineStr">
        <is>
          <t>Renewal uplift 7%</t>
        </is>
      </c>
    </row>
    <row r="15">
      <c r="A15" s="39" t="inlineStr">
        <is>
          <t>2024-07-20</t>
        </is>
      </c>
      <c r="B15" s="18" t="inlineStr">
        <is>
          <t>APAC</t>
        </is>
      </c>
      <c r="C15" s="18" t="inlineStr">
        <is>
          <t>Alerts add-on</t>
        </is>
      </c>
      <c r="D15" s="18" t="inlineStr">
        <is>
          <t>SMB</t>
        </is>
      </c>
      <c r="E15" s="18" t="inlineStr">
        <is>
          <t>D. Chatterjee</t>
        </is>
      </c>
      <c r="F15" s="20" t="n">
        <v>6200</v>
      </c>
      <c r="G15" s="34" t="inlineStr">
        <is>
          <t>Partner-sourced</t>
        </is>
      </c>
    </row>
    <row r="16">
      <c r="A16" s="39" t="inlineStr">
        <is>
          <t>2024-07-27</t>
        </is>
      </c>
      <c r="B16" s="18" t="inlineStr">
        <is>
          <t>APAC</t>
        </is>
      </c>
      <c r="C16" s="18" t="inlineStr">
        <is>
          <t>Alerts add-on</t>
        </is>
      </c>
      <c r="D16" s="18" t="inlineStr">
        <is>
          <t>Enterprise</t>
        </is>
      </c>
      <c r="E16" s="18" t="inlineStr">
        <is>
          <t>H. Vasquez</t>
        </is>
      </c>
      <c r="F16" s="20" t="n">
        <v>100200</v>
      </c>
      <c r="G16" s="34" t="inlineStr">
        <is>
          <t>Partner-sourced</t>
        </is>
      </c>
    </row>
    <row r="17">
      <c r="A17" s="39" t="inlineStr">
        <is>
          <t>2024-07-03</t>
        </is>
      </c>
      <c r="B17" s="18" t="inlineStr">
        <is>
          <t>AMER East</t>
        </is>
      </c>
      <c r="C17" s="18" t="inlineStr">
        <is>
          <t>Signal Core</t>
        </is>
      </c>
      <c r="D17" s="18" t="inlineStr">
        <is>
          <t>Enterprise</t>
        </is>
      </c>
      <c r="E17" s="18" t="inlineStr">
        <is>
          <t>E. Nakamura</t>
        </is>
      </c>
      <c r="F17" s="20" t="n">
        <v>18800</v>
      </c>
      <c r="G17" s="34" t="inlineStr">
        <is>
          <t>Competitive displacement</t>
        </is>
      </c>
    </row>
    <row r="18">
      <c r="A18" s="39" t="inlineStr">
        <is>
          <t>2024-07-10</t>
        </is>
      </c>
      <c r="B18" s="18" t="inlineStr">
        <is>
          <t>APAC</t>
        </is>
      </c>
      <c r="C18" s="18" t="inlineStr">
        <is>
          <t>Alerts add-on</t>
        </is>
      </c>
      <c r="D18" s="18" t="inlineStr">
        <is>
          <t>Enterprise</t>
        </is>
      </c>
      <c r="E18" s="18" t="inlineStr">
        <is>
          <t>F. Duarte</t>
        </is>
      </c>
      <c r="F18" s="20" t="n">
        <v>48900</v>
      </c>
      <c r="G18" s="34" t="inlineStr">
        <is>
          <t>Pilot converted</t>
        </is>
      </c>
    </row>
    <row r="19">
      <c r="A19" s="39" t="inlineStr">
        <is>
          <t>2024-07-17</t>
        </is>
      </c>
      <c r="B19" s="18" t="inlineStr">
        <is>
          <t>AMER East</t>
        </is>
      </c>
      <c r="C19" s="18" t="inlineStr">
        <is>
          <t>Warehouse Connect</t>
        </is>
      </c>
      <c r="D19" s="18" t="inlineStr">
        <is>
          <t>Mid-market</t>
        </is>
      </c>
      <c r="E19" s="18" t="inlineStr">
        <is>
          <t>D. Chatterjee</t>
        </is>
      </c>
      <c r="F19" s="20" t="n">
        <v>68400</v>
      </c>
      <c r="G19" s="34" t="inlineStr">
        <is>
          <t>Multi-year prepay</t>
        </is>
      </c>
    </row>
    <row r="20">
      <c r="A20" s="39" t="inlineStr">
        <is>
          <t>2024-07-24</t>
        </is>
      </c>
      <c r="B20" s="18" t="inlineStr">
        <is>
          <t>APAC</t>
        </is>
      </c>
      <c r="C20" s="18" t="inlineStr">
        <is>
          <t>Signal Core</t>
        </is>
      </c>
      <c r="D20" s="18" t="inlineStr">
        <is>
          <t>Mid-market</t>
        </is>
      </c>
      <c r="E20" s="18" t="inlineStr">
        <is>
          <t>D. Chatterjee</t>
        </is>
      </c>
      <c r="F20" s="20" t="n">
        <v>13400</v>
      </c>
      <c r="G20" s="34" t="inlineStr">
        <is>
          <t>Competitive displacement</t>
        </is>
      </c>
    </row>
    <row r="21">
      <c r="A21" s="39" t="inlineStr">
        <is>
          <t>2024-07-31</t>
        </is>
      </c>
      <c r="B21" s="18" t="inlineStr">
        <is>
          <t>AMER West</t>
        </is>
      </c>
      <c r="C21" s="18" t="inlineStr">
        <is>
          <t>Signal Pro</t>
        </is>
      </c>
      <c r="D21" s="18" t="inlineStr">
        <is>
          <t>Enterprise</t>
        </is>
      </c>
      <c r="E21" s="18" t="inlineStr">
        <is>
          <t>J. Adeyemi</t>
        </is>
      </c>
      <c r="F21" s="20" t="n">
        <v>9000</v>
      </c>
      <c r="G21" s="34" t="inlineStr">
        <is>
          <t>Co-term with parent</t>
        </is>
      </c>
    </row>
    <row r="22">
      <c r="A22" s="39" t="inlineStr">
        <is>
          <t>2024-07-07</t>
        </is>
      </c>
      <c r="B22" s="18" t="inlineStr">
        <is>
          <t>AMER East</t>
        </is>
      </c>
      <c r="C22" s="18" t="inlineStr">
        <is>
          <t>Alerts add-on</t>
        </is>
      </c>
      <c r="D22" s="18" t="inlineStr">
        <is>
          <t>Enterprise</t>
        </is>
      </c>
      <c r="E22" s="18" t="inlineStr">
        <is>
          <t>J. Adeyemi</t>
        </is>
      </c>
      <c r="F22" s="20" t="n">
        <v>99800</v>
      </c>
      <c r="G22" s="34" t="inlineStr">
        <is>
          <t>Competitive displacement</t>
        </is>
      </c>
    </row>
    <row r="23">
      <c r="A23" s="39" t="inlineStr">
        <is>
          <t>2024-07-14</t>
        </is>
      </c>
      <c r="B23" s="18" t="inlineStr">
        <is>
          <t>AMER West</t>
        </is>
      </c>
      <c r="C23" s="18" t="inlineStr">
        <is>
          <t>Alerts add-on</t>
        </is>
      </c>
      <c r="D23" s="18" t="inlineStr">
        <is>
          <t>Mid-market</t>
        </is>
      </c>
      <c r="E23" s="18" t="inlineStr">
        <is>
          <t>E. Nakamura</t>
        </is>
      </c>
      <c r="F23" s="20" t="n">
        <v>21800</v>
      </c>
      <c r="G23" s="34" t="inlineStr">
        <is>
          <t>Co-term with parent</t>
        </is>
      </c>
    </row>
    <row r="24">
      <c r="A24" s="39" t="inlineStr">
        <is>
          <t>2024-07-21</t>
        </is>
      </c>
      <c r="B24" s="18" t="inlineStr">
        <is>
          <t>APAC</t>
        </is>
      </c>
      <c r="C24" s="18" t="inlineStr">
        <is>
          <t>Signal Pro</t>
        </is>
      </c>
      <c r="D24" s="18" t="inlineStr">
        <is>
          <t>Enterprise</t>
        </is>
      </c>
      <c r="E24" s="18" t="inlineStr">
        <is>
          <t>F. Duarte</t>
        </is>
      </c>
      <c r="F24" s="20" t="n">
        <v>26800</v>
      </c>
      <c r="G24" s="34" t="inlineStr">
        <is>
          <t>Co-term with parent</t>
        </is>
      </c>
    </row>
    <row r="25">
      <c r="A25" s="39" t="inlineStr">
        <is>
          <t>2024-07-28</t>
        </is>
      </c>
      <c r="B25" s="18" t="inlineStr">
        <is>
          <t>APAC</t>
        </is>
      </c>
      <c r="C25" s="18" t="inlineStr">
        <is>
          <t>Signal Pro</t>
        </is>
      </c>
      <c r="D25" s="18" t="inlineStr">
        <is>
          <t>SMB</t>
        </is>
      </c>
      <c r="E25" s="18" t="inlineStr">
        <is>
          <t>B. Lindqvist</t>
        </is>
      </c>
      <c r="F25" s="20" t="n">
        <v>118000</v>
      </c>
      <c r="G25" s="34" t="inlineStr">
        <is>
          <t>Multi-year prepay</t>
        </is>
      </c>
    </row>
    <row r="26">
      <c r="A26" s="39" t="inlineStr">
        <is>
          <t>2024-07-04</t>
        </is>
      </c>
      <c r="B26" s="18" t="inlineStr">
        <is>
          <t>LATAM</t>
        </is>
      </c>
      <c r="C26" s="18" t="inlineStr">
        <is>
          <t>Signal Core</t>
        </is>
      </c>
      <c r="D26" s="18" t="inlineStr">
        <is>
          <t>SMB</t>
        </is>
      </c>
      <c r="E26" s="18" t="inlineStr">
        <is>
          <t>D. Chatterjee</t>
        </is>
      </c>
      <c r="F26" s="20" t="n">
        <v>44600</v>
      </c>
      <c r="G26" s="34" t="inlineStr">
        <is>
          <t>Competitive displacement</t>
        </is>
      </c>
    </row>
    <row r="27">
      <c r="A27" s="39" t="inlineStr">
        <is>
          <t>2024-07-11</t>
        </is>
      </c>
      <c r="B27" s="18" t="inlineStr">
        <is>
          <t>AMER West</t>
        </is>
      </c>
      <c r="C27" s="18" t="inlineStr">
        <is>
          <t>Warehouse Connect</t>
        </is>
      </c>
      <c r="D27" s="18" t="inlineStr">
        <is>
          <t>SMB</t>
        </is>
      </c>
      <c r="E27" s="18" t="inlineStr">
        <is>
          <t>B. Lindqvist</t>
        </is>
      </c>
      <c r="F27" s="20" t="n">
        <v>100600</v>
      </c>
      <c r="G27" s="34" t="inlineStr">
        <is>
          <t>Competitive displacement</t>
        </is>
      </c>
    </row>
    <row r="28">
      <c r="A28" s="39" t="inlineStr">
        <is>
          <t>2024-07-18</t>
        </is>
      </c>
      <c r="B28" s="18" t="inlineStr">
        <is>
          <t>APAC</t>
        </is>
      </c>
      <c r="C28" s="18" t="inlineStr">
        <is>
          <t>Alerts add-on</t>
        </is>
      </c>
      <c r="D28" s="18" t="inlineStr">
        <is>
          <t>Enterprise</t>
        </is>
      </c>
      <c r="E28" s="18" t="inlineStr">
        <is>
          <t>K. Sørensen</t>
        </is>
      </c>
      <c r="F28" s="20" t="n">
        <v>39300</v>
      </c>
      <c r="G28" s="34" t="inlineStr">
        <is>
          <t>Pilot converted</t>
        </is>
      </c>
    </row>
    <row r="29">
      <c r="A29" s="39" t="inlineStr">
        <is>
          <t>2024-07-25</t>
        </is>
      </c>
      <c r="B29" s="18" t="inlineStr">
        <is>
          <t>AMER West</t>
        </is>
      </c>
      <c r="C29" s="18" t="inlineStr">
        <is>
          <t>Signal Core</t>
        </is>
      </c>
      <c r="D29" s="18" t="inlineStr">
        <is>
          <t>SMB</t>
        </is>
      </c>
      <c r="E29" s="18" t="inlineStr">
        <is>
          <t>F. Duarte</t>
        </is>
      </c>
      <c r="F29" s="20" t="n">
        <v>149800</v>
      </c>
      <c r="G29" s="34" t="inlineStr">
        <is>
          <t>Multi-year prepay</t>
        </is>
      </c>
    </row>
    <row r="30">
      <c r="A30" s="39" t="inlineStr">
        <is>
          <t>2024-07-01</t>
        </is>
      </c>
      <c r="B30" s="18" t="inlineStr">
        <is>
          <t>AMER East</t>
        </is>
      </c>
      <c r="C30" s="18" t="inlineStr">
        <is>
          <t>Alerts add-on</t>
        </is>
      </c>
      <c r="D30" s="18" t="inlineStr">
        <is>
          <t>Enterprise</t>
        </is>
      </c>
      <c r="E30" s="18" t="inlineStr">
        <is>
          <t>K. Sørensen</t>
        </is>
      </c>
      <c r="F30" s="20" t="n">
        <v>25000</v>
      </c>
      <c r="G30" s="34" t="inlineStr">
        <is>
          <t>Standard list price</t>
        </is>
      </c>
    </row>
    <row r="31">
      <c r="A31" s="39" t="inlineStr">
        <is>
          <t>2024-07-08</t>
        </is>
      </c>
      <c r="B31" s="18" t="inlineStr">
        <is>
          <t>EMEA</t>
        </is>
      </c>
      <c r="C31" s="18" t="inlineStr">
        <is>
          <t>Signal Core</t>
        </is>
      </c>
      <c r="D31" s="18" t="inlineStr">
        <is>
          <t>SMB</t>
        </is>
      </c>
      <c r="E31" s="18" t="inlineStr">
        <is>
          <t>C. Marín</t>
        </is>
      </c>
      <c r="F31" s="20" t="n">
        <v>88400</v>
      </c>
      <c r="G31" s="34" t="inlineStr">
        <is>
          <t>Standard list price</t>
        </is>
      </c>
    </row>
    <row r="32">
      <c r="A32" s="39" t="inlineStr">
        <is>
          <t>2024-07-15</t>
        </is>
      </c>
      <c r="B32" s="18" t="inlineStr">
        <is>
          <t>EMEA</t>
        </is>
      </c>
      <c r="C32" s="18" t="inlineStr">
        <is>
          <t>Warehouse Connect</t>
        </is>
      </c>
      <c r="D32" s="18" t="inlineStr">
        <is>
          <t>Mid-market</t>
        </is>
      </c>
      <c r="E32" s="18" t="inlineStr">
        <is>
          <t>D. Chatterjee</t>
        </is>
      </c>
      <c r="F32" s="20" t="n">
        <v>12800</v>
      </c>
      <c r="G32" s="34" t="inlineStr">
        <is>
          <t>Standard list price</t>
        </is>
      </c>
    </row>
    <row r="33">
      <c r="A33" s="39" t="inlineStr">
        <is>
          <t>2024-07-22</t>
        </is>
      </c>
      <c r="B33" s="18" t="inlineStr">
        <is>
          <t>EMEA</t>
        </is>
      </c>
      <c r="C33" s="18" t="inlineStr">
        <is>
          <t>Embedded Reports</t>
        </is>
      </c>
      <c r="D33" s="18" t="inlineStr">
        <is>
          <t>Mid-market</t>
        </is>
      </c>
      <c r="E33" s="18" t="inlineStr">
        <is>
          <t>A. Okafor</t>
        </is>
      </c>
      <c r="F33" s="20" t="n">
        <v>186600</v>
      </c>
      <c r="G33" s="34" t="inlineStr">
        <is>
          <t>Pilot converted</t>
        </is>
      </c>
    </row>
    <row r="34">
      <c r="A34" s="39" t="inlineStr">
        <is>
          <t>2024-07-29</t>
        </is>
      </c>
      <c r="B34" s="18" t="inlineStr">
        <is>
          <t>AMER East</t>
        </is>
      </c>
      <c r="C34" s="18" t="inlineStr">
        <is>
          <t>Embedded Reports</t>
        </is>
      </c>
      <c r="D34" s="18" t="inlineStr">
        <is>
          <t>Enterprise</t>
        </is>
      </c>
      <c r="E34" s="18" t="inlineStr">
        <is>
          <t>K. Sørensen</t>
        </is>
      </c>
      <c r="F34" s="20" t="n">
        <v>12000</v>
      </c>
      <c r="G34" s="34" t="inlineStr">
        <is>
          <t>Ramped deal, year one</t>
        </is>
      </c>
    </row>
    <row r="35">
      <c r="A35" s="39" t="inlineStr">
        <is>
          <t>2024-07-05</t>
        </is>
      </c>
      <c r="B35" s="18" t="inlineStr">
        <is>
          <t>AMER West</t>
        </is>
      </c>
      <c r="C35" s="18" t="inlineStr">
        <is>
          <t>Embedded Reports</t>
        </is>
      </c>
      <c r="D35" s="18" t="inlineStr">
        <is>
          <t>Mid-market</t>
        </is>
      </c>
      <c r="E35" s="18" t="inlineStr">
        <is>
          <t>K. Sørensen</t>
        </is>
      </c>
      <c r="F35" s="20" t="n">
        <v>63300</v>
      </c>
      <c r="G35" s="34" t="inlineStr">
        <is>
          <t>Renewal uplift 7%</t>
        </is>
      </c>
    </row>
    <row r="36">
      <c r="A36" s="39" t="inlineStr">
        <is>
          <t>2024-07-12</t>
        </is>
      </c>
      <c r="B36" s="18" t="inlineStr">
        <is>
          <t>AMER East</t>
        </is>
      </c>
      <c r="C36" s="18" t="inlineStr">
        <is>
          <t>Embedded Reports</t>
        </is>
      </c>
      <c r="D36" s="18" t="inlineStr">
        <is>
          <t>SMB</t>
        </is>
      </c>
      <c r="E36" s="18" t="inlineStr">
        <is>
          <t>G. Halloran</t>
        </is>
      </c>
      <c r="F36" s="20" t="n">
        <v>36300</v>
      </c>
      <c r="G36" s="34" t="inlineStr">
        <is>
          <t>Standard list price</t>
        </is>
      </c>
    </row>
    <row r="37">
      <c r="A37" s="39" t="inlineStr">
        <is>
          <t>2024-07-19</t>
        </is>
      </c>
      <c r="B37" s="18" t="inlineStr">
        <is>
          <t>APAC</t>
        </is>
      </c>
      <c r="C37" s="18" t="inlineStr">
        <is>
          <t>Signal Core</t>
        </is>
      </c>
      <c r="D37" s="18" t="inlineStr">
        <is>
          <t>Enterprise</t>
        </is>
      </c>
      <c r="E37" s="18" t="inlineStr">
        <is>
          <t>D. Chatterjee</t>
        </is>
      </c>
      <c r="F37" s="20" t="n">
        <v>184500</v>
      </c>
      <c r="G37" s="34" t="inlineStr">
        <is>
          <t>Renewal uplift 7%</t>
        </is>
      </c>
    </row>
    <row r="38">
      <c r="A38" s="39" t="inlineStr">
        <is>
          <t>2024-07-26</t>
        </is>
      </c>
      <c r="B38" s="18" t="inlineStr">
        <is>
          <t>EMEA</t>
        </is>
      </c>
      <c r="C38" s="18" t="inlineStr">
        <is>
          <t>Warehouse Connect</t>
        </is>
      </c>
      <c r="D38" s="18" t="inlineStr">
        <is>
          <t>SMB</t>
        </is>
      </c>
      <c r="E38" s="18" t="inlineStr">
        <is>
          <t>J. Adeyemi</t>
        </is>
      </c>
      <c r="F38" s="20" t="n">
        <v>52000</v>
      </c>
      <c r="G38" s="34" t="inlineStr">
        <is>
          <t>Partner-sourced</t>
        </is>
      </c>
    </row>
    <row r="39">
      <c r="A39" s="39" t="inlineStr">
        <is>
          <t>2024-07-02</t>
        </is>
      </c>
      <c r="B39" s="18" t="inlineStr">
        <is>
          <t>AMER East</t>
        </is>
      </c>
      <c r="C39" s="18" t="inlineStr">
        <is>
          <t>Signal Core</t>
        </is>
      </c>
      <c r="D39" s="18" t="inlineStr">
        <is>
          <t>Enterprise</t>
        </is>
      </c>
      <c r="E39" s="18" t="inlineStr">
        <is>
          <t>E. Nakamura</t>
        </is>
      </c>
      <c r="F39" s="20" t="n">
        <v>145200</v>
      </c>
      <c r="G39" s="34" t="inlineStr">
        <is>
          <t>Standard list price</t>
        </is>
      </c>
    </row>
    <row r="40">
      <c r="A40" s="39" t="inlineStr">
        <is>
          <t>2024-07-09</t>
        </is>
      </c>
      <c r="B40" s="18" t="inlineStr">
        <is>
          <t>LATAM</t>
        </is>
      </c>
      <c r="C40" s="18" t="inlineStr">
        <is>
          <t>Signal Pro</t>
        </is>
      </c>
      <c r="D40" s="18" t="inlineStr">
        <is>
          <t>Enterprise</t>
        </is>
      </c>
      <c r="E40" s="18" t="inlineStr">
        <is>
          <t>F. Duarte</t>
        </is>
      </c>
      <c r="F40" s="20" t="n">
        <v>145400</v>
      </c>
      <c r="G40" s="34" t="inlineStr">
        <is>
          <t>Pilot converted</t>
        </is>
      </c>
    </row>
    <row r="41">
      <c r="A41" s="39" t="inlineStr">
        <is>
          <t>2024-07-16</t>
        </is>
      </c>
      <c r="B41" s="18" t="inlineStr">
        <is>
          <t>AMER East</t>
        </is>
      </c>
      <c r="C41" s="18" t="inlineStr">
        <is>
          <t>Alerts add-on</t>
        </is>
      </c>
      <c r="D41" s="18" t="inlineStr">
        <is>
          <t>Enterprise</t>
        </is>
      </c>
      <c r="E41" s="18" t="inlineStr">
        <is>
          <t>B. Lindqvist</t>
        </is>
      </c>
      <c r="F41" s="20" t="n">
        <v>26300</v>
      </c>
      <c r="G41" s="34" t="inlineStr">
        <is>
          <t>Partner-sourced</t>
        </is>
      </c>
    </row>
    <row r="42">
      <c r="A42" s="39" t="inlineStr">
        <is>
          <t>2024-07-23</t>
        </is>
      </c>
      <c r="B42" s="18" t="inlineStr">
        <is>
          <t>APAC</t>
        </is>
      </c>
      <c r="C42" s="18" t="inlineStr">
        <is>
          <t>Signal Core</t>
        </is>
      </c>
      <c r="D42" s="18" t="inlineStr">
        <is>
          <t>Mid-market</t>
        </is>
      </c>
      <c r="E42" s="18" t="inlineStr">
        <is>
          <t>B. Lindqvist</t>
        </is>
      </c>
      <c r="F42" s="20" t="n">
        <v>12700</v>
      </c>
      <c r="G42" s="34" t="inlineStr">
        <is>
          <t>Competitive displacement</t>
        </is>
      </c>
    </row>
    <row r="43">
      <c r="A43" s="39" t="inlineStr">
        <is>
          <t>2024-07-30</t>
        </is>
      </c>
      <c r="B43" s="18" t="inlineStr">
        <is>
          <t>AMER West</t>
        </is>
      </c>
      <c r="C43" s="18" t="inlineStr">
        <is>
          <t>Signal Core</t>
        </is>
      </c>
      <c r="D43" s="18" t="inlineStr">
        <is>
          <t>Enterprise</t>
        </is>
      </c>
      <c r="E43" s="18" t="inlineStr">
        <is>
          <t>C. Marín</t>
        </is>
      </c>
      <c r="F43" s="20" t="n">
        <v>17700</v>
      </c>
      <c r="G43" s="34" t="inlineStr">
        <is>
          <t>Co-term with parent</t>
        </is>
      </c>
    </row>
    <row r="44">
      <c r="A44" s="39" t="inlineStr">
        <is>
          <t>2024-07-06</t>
        </is>
      </c>
      <c r="B44" s="18" t="inlineStr">
        <is>
          <t>AMER West</t>
        </is>
      </c>
      <c r="C44" s="18" t="inlineStr">
        <is>
          <t>Alerts add-on</t>
        </is>
      </c>
      <c r="D44" s="18" t="inlineStr">
        <is>
          <t>Enterprise</t>
        </is>
      </c>
      <c r="E44" s="18" t="inlineStr">
        <is>
          <t>E. Nakamura</t>
        </is>
      </c>
      <c r="F44" s="20" t="n">
        <v>5400</v>
      </c>
      <c r="G44" s="34" t="inlineStr">
        <is>
          <t>Multi-year prepay</t>
        </is>
      </c>
    </row>
    <row r="45">
      <c r="A45" s="39" t="inlineStr">
        <is>
          <t>2024-07-13</t>
        </is>
      </c>
      <c r="B45" s="18" t="inlineStr">
        <is>
          <t>AMER East</t>
        </is>
      </c>
      <c r="C45" s="18" t="inlineStr">
        <is>
          <t>Embedded Reports</t>
        </is>
      </c>
      <c r="D45" s="18" t="inlineStr">
        <is>
          <t>Mid-market</t>
        </is>
      </c>
      <c r="E45" s="18" t="inlineStr">
        <is>
          <t>K. Sørensen</t>
        </is>
      </c>
      <c r="F45" s="20" t="n">
        <v>81200</v>
      </c>
      <c r="G45" s="34" t="inlineStr">
        <is>
          <t>Standard list price</t>
        </is>
      </c>
    </row>
    <row r="46">
      <c r="A46" s="39" t="inlineStr">
        <is>
          <t>2024-07-20</t>
        </is>
      </c>
      <c r="B46" s="18" t="inlineStr">
        <is>
          <t>AMER West</t>
        </is>
      </c>
      <c r="C46" s="18" t="inlineStr">
        <is>
          <t>Embedded Reports</t>
        </is>
      </c>
      <c r="D46" s="18" t="inlineStr">
        <is>
          <t>Mid-market</t>
        </is>
      </c>
      <c r="E46" s="18" t="inlineStr">
        <is>
          <t>A. Okafor</t>
        </is>
      </c>
      <c r="F46" s="20" t="n">
        <v>110400</v>
      </c>
      <c r="G46" s="34" t="inlineStr">
        <is>
          <t>Multi-year prepay</t>
        </is>
      </c>
    </row>
    <row r="47">
      <c r="A47" s="39" t="inlineStr">
        <is>
          <t>2024-07-27</t>
        </is>
      </c>
      <c r="B47" s="18" t="inlineStr">
        <is>
          <t>AMER West</t>
        </is>
      </c>
      <c r="C47" s="18" t="inlineStr">
        <is>
          <t>Alerts add-on</t>
        </is>
      </c>
      <c r="D47" s="18" t="inlineStr">
        <is>
          <t>Enterprise</t>
        </is>
      </c>
      <c r="E47" s="18" t="inlineStr">
        <is>
          <t>C. Marín</t>
        </is>
      </c>
      <c r="F47" s="20" t="n">
        <v>18300</v>
      </c>
      <c r="G47" s="34" t="inlineStr">
        <is>
          <t>Competitive displacement</t>
        </is>
      </c>
    </row>
    <row r="48">
      <c r="A48" s="39" t="inlineStr">
        <is>
          <t>2024-07-03</t>
        </is>
      </c>
      <c r="B48" s="18" t="inlineStr">
        <is>
          <t>AMER West</t>
        </is>
      </c>
      <c r="C48" s="18" t="inlineStr">
        <is>
          <t>Signal Core</t>
        </is>
      </c>
      <c r="D48" s="18" t="inlineStr">
        <is>
          <t>Mid-market</t>
        </is>
      </c>
      <c r="E48" s="18" t="inlineStr">
        <is>
          <t>A. Okafor</t>
        </is>
      </c>
      <c r="F48" s="20" t="n">
        <v>72600</v>
      </c>
      <c r="G48" s="34" t="inlineStr">
        <is>
          <t>Ramped deal, year one</t>
        </is>
      </c>
    </row>
    <row r="49">
      <c r="A49" s="39" t="inlineStr">
        <is>
          <t>2024-07-10</t>
        </is>
      </c>
      <c r="B49" s="18" t="inlineStr">
        <is>
          <t>AMER East</t>
        </is>
      </c>
      <c r="C49" s="18" t="inlineStr">
        <is>
          <t>Signal Core</t>
        </is>
      </c>
      <c r="D49" s="18" t="inlineStr">
        <is>
          <t>Enterprise</t>
        </is>
      </c>
      <c r="E49" s="18" t="inlineStr">
        <is>
          <t>C. Marín</t>
        </is>
      </c>
      <c r="F49" s="20" t="n">
        <v>133500</v>
      </c>
      <c r="G49" s="34" t="inlineStr">
        <is>
          <t>Co-term with parent</t>
        </is>
      </c>
    </row>
    <row r="50">
      <c r="A50" s="39" t="inlineStr">
        <is>
          <t>2024-07-17</t>
        </is>
      </c>
      <c r="B50" s="18" t="inlineStr">
        <is>
          <t>LATAM</t>
        </is>
      </c>
      <c r="C50" s="18" t="inlineStr">
        <is>
          <t>Signal Core</t>
        </is>
      </c>
      <c r="D50" s="18" t="inlineStr">
        <is>
          <t>Mid-market</t>
        </is>
      </c>
      <c r="E50" s="18" t="inlineStr">
        <is>
          <t>G. Halloran</t>
        </is>
      </c>
      <c r="F50" s="20" t="n">
        <v>87200</v>
      </c>
      <c r="G50" s="34" t="inlineStr">
        <is>
          <t>Standard list price</t>
        </is>
      </c>
    </row>
    <row r="51">
      <c r="A51" s="39" t="inlineStr">
        <is>
          <t>2024-07-24</t>
        </is>
      </c>
      <c r="B51" s="18" t="inlineStr">
        <is>
          <t>LATAM</t>
        </is>
      </c>
      <c r="C51" s="18" t="inlineStr">
        <is>
          <t>Alerts add-on</t>
        </is>
      </c>
      <c r="D51" s="18" t="inlineStr">
        <is>
          <t>Enterprise</t>
        </is>
      </c>
      <c r="E51" s="18" t="inlineStr">
        <is>
          <t>D. Chatterjee</t>
        </is>
      </c>
      <c r="F51" s="20" t="n">
        <v>43200</v>
      </c>
      <c r="G51" s="34" t="inlineStr">
        <is>
          <t>Standard list price</t>
        </is>
      </c>
    </row>
    <row r="52">
      <c r="A52" s="39" t="inlineStr">
        <is>
          <t>2024-07-31</t>
        </is>
      </c>
      <c r="B52" s="18" t="inlineStr">
        <is>
          <t>AMER East</t>
        </is>
      </c>
      <c r="C52" s="18" t="inlineStr">
        <is>
          <t>Embedded Reports</t>
        </is>
      </c>
      <c r="D52" s="18" t="inlineStr">
        <is>
          <t>SMB</t>
        </is>
      </c>
      <c r="E52" s="18" t="inlineStr">
        <is>
          <t>E. Nakamura</t>
        </is>
      </c>
      <c r="F52" s="20" t="n">
        <v>32900</v>
      </c>
      <c r="G52" s="34" t="inlineStr">
        <is>
          <t>Renewal uplift 7%</t>
        </is>
      </c>
    </row>
    <row r="53">
      <c r="A53" s="39" t="inlineStr">
        <is>
          <t>2024-07-07</t>
        </is>
      </c>
      <c r="B53" s="18" t="inlineStr">
        <is>
          <t>AMER East</t>
        </is>
      </c>
      <c r="C53" s="18" t="inlineStr">
        <is>
          <t>Alerts add-on</t>
        </is>
      </c>
      <c r="D53" s="18" t="inlineStr">
        <is>
          <t>Mid-market</t>
        </is>
      </c>
      <c r="E53" s="18" t="inlineStr">
        <is>
          <t>B. Lindqvist</t>
        </is>
      </c>
      <c r="F53" s="20" t="n">
        <v>27600</v>
      </c>
      <c r="G53" s="34" t="inlineStr">
        <is>
          <t>Pilot converted</t>
        </is>
      </c>
    </row>
    <row r="54">
      <c r="A54" s="39" t="inlineStr">
        <is>
          <t>2024-07-14</t>
        </is>
      </c>
      <c r="B54" s="18" t="inlineStr">
        <is>
          <t>APAC</t>
        </is>
      </c>
      <c r="C54" s="18" t="inlineStr">
        <is>
          <t>Alerts add-on</t>
        </is>
      </c>
      <c r="D54" s="18" t="inlineStr">
        <is>
          <t>Mid-market</t>
        </is>
      </c>
      <c r="E54" s="18" t="inlineStr">
        <is>
          <t>E. Nakamura</t>
        </is>
      </c>
      <c r="F54" s="20" t="n">
        <v>58600</v>
      </c>
      <c r="G54" s="34" t="inlineStr">
        <is>
          <t>Competitive displacement</t>
        </is>
      </c>
    </row>
    <row r="55">
      <c r="A55" s="39" t="inlineStr">
        <is>
          <t>2024-07-21</t>
        </is>
      </c>
      <c r="B55" s="18" t="inlineStr">
        <is>
          <t>EMEA</t>
        </is>
      </c>
      <c r="C55" s="18" t="inlineStr">
        <is>
          <t>Signal Pro</t>
        </is>
      </c>
      <c r="D55" s="18" t="inlineStr">
        <is>
          <t>Enterprise</t>
        </is>
      </c>
      <c r="E55" s="18" t="inlineStr">
        <is>
          <t>G. Halloran</t>
        </is>
      </c>
      <c r="F55" s="20" t="n">
        <v>20200</v>
      </c>
      <c r="G55" s="34" t="inlineStr">
        <is>
          <t>Standard list price</t>
        </is>
      </c>
    </row>
    <row r="56">
      <c r="A56" s="39" t="inlineStr">
        <is>
          <t>2024-07-28</t>
        </is>
      </c>
      <c r="B56" s="18" t="inlineStr">
        <is>
          <t>AMER West</t>
        </is>
      </c>
      <c r="C56" s="18" t="inlineStr">
        <is>
          <t>Embedded Reports</t>
        </is>
      </c>
      <c r="D56" s="18" t="inlineStr">
        <is>
          <t>Enterprise</t>
        </is>
      </c>
      <c r="E56" s="18" t="inlineStr">
        <is>
          <t>B. Lindqvist</t>
        </is>
      </c>
      <c r="F56" s="20" t="n">
        <v>43300</v>
      </c>
      <c r="G56" s="34" t="inlineStr">
        <is>
          <t>Renewal uplift 7%</t>
        </is>
      </c>
    </row>
    <row r="57">
      <c r="A57" s="39" t="inlineStr">
        <is>
          <t>2024-07-04</t>
        </is>
      </c>
      <c r="B57" s="18" t="inlineStr">
        <is>
          <t>AMER East</t>
        </is>
      </c>
      <c r="C57" s="18" t="inlineStr">
        <is>
          <t>Signal Core</t>
        </is>
      </c>
      <c r="D57" s="18" t="inlineStr">
        <is>
          <t>SMB</t>
        </is>
      </c>
      <c r="E57" s="18" t="inlineStr">
        <is>
          <t>D. Chatterjee</t>
        </is>
      </c>
      <c r="F57" s="20" t="n">
        <v>35400</v>
      </c>
      <c r="G57" s="34" t="inlineStr">
        <is>
          <t>Pilot converted</t>
        </is>
      </c>
    </row>
    <row r="58">
      <c r="A58" s="39" t="inlineStr">
        <is>
          <t>2024-07-11</t>
        </is>
      </c>
      <c r="B58" s="18" t="inlineStr">
        <is>
          <t>AMER East</t>
        </is>
      </c>
      <c r="C58" s="18" t="inlineStr">
        <is>
          <t>Signal Core</t>
        </is>
      </c>
      <c r="D58" s="18" t="inlineStr">
        <is>
          <t>SMB</t>
        </is>
      </c>
      <c r="E58" s="18" t="inlineStr">
        <is>
          <t>D. Chatterjee</t>
        </is>
      </c>
      <c r="F58" s="20" t="n">
        <v>155800</v>
      </c>
      <c r="G58" s="34" t="inlineStr">
        <is>
          <t>Multi-year prepay</t>
        </is>
      </c>
    </row>
    <row r="59">
      <c r="A59" s="39" t="inlineStr">
        <is>
          <t>2024-07-18</t>
        </is>
      </c>
      <c r="B59" s="18" t="inlineStr">
        <is>
          <t>EMEA</t>
        </is>
      </c>
      <c r="C59" s="18" t="inlineStr">
        <is>
          <t>Warehouse Connect</t>
        </is>
      </c>
      <c r="D59" s="18" t="inlineStr">
        <is>
          <t>Enterprise</t>
        </is>
      </c>
      <c r="E59" s="18" t="inlineStr">
        <is>
          <t>K. Sørensen</t>
        </is>
      </c>
      <c r="F59" s="20" t="n">
        <v>72000</v>
      </c>
      <c r="G59" s="34" t="inlineStr">
        <is>
          <t>Co-term with parent</t>
        </is>
      </c>
    </row>
    <row r="60">
      <c r="A60" s="39" t="inlineStr">
        <is>
          <t>2024-07-25</t>
        </is>
      </c>
      <c r="B60" s="18" t="inlineStr">
        <is>
          <t>EMEA</t>
        </is>
      </c>
      <c r="C60" s="18" t="inlineStr">
        <is>
          <t>Warehouse Connect</t>
        </is>
      </c>
      <c r="D60" s="18" t="inlineStr">
        <is>
          <t>SMB</t>
        </is>
      </c>
      <c r="E60" s="18" t="inlineStr">
        <is>
          <t>B. Lindqvist</t>
        </is>
      </c>
      <c r="F60" s="20" t="n">
        <v>7400</v>
      </c>
      <c r="G60" s="34" t="inlineStr">
        <is>
          <t>Renewal uplift 7%</t>
        </is>
      </c>
    </row>
    <row r="61">
      <c r="A61" s="39" t="inlineStr">
        <is>
          <t>2024-07-01</t>
        </is>
      </c>
      <c r="B61" s="18" t="inlineStr">
        <is>
          <t>AMER West</t>
        </is>
      </c>
      <c r="C61" s="18" t="inlineStr">
        <is>
          <t>Embedded Reports</t>
        </is>
      </c>
      <c r="D61" s="18" t="inlineStr">
        <is>
          <t>SMB</t>
        </is>
      </c>
      <c r="E61" s="18" t="inlineStr">
        <is>
          <t>G. Halloran</t>
        </is>
      </c>
      <c r="F61" s="20" t="n">
        <v>13000</v>
      </c>
      <c r="G61" s="34" t="inlineStr">
        <is>
          <t>Co-term with parent</t>
        </is>
      </c>
    </row>
    <row r="62">
      <c r="A62" s="39" t="inlineStr">
        <is>
          <t>2024-07-08</t>
        </is>
      </c>
      <c r="B62" s="18" t="inlineStr">
        <is>
          <t>APAC</t>
        </is>
      </c>
      <c r="C62" s="18" t="inlineStr">
        <is>
          <t>Warehouse Connect</t>
        </is>
      </c>
      <c r="D62" s="18" t="inlineStr">
        <is>
          <t>Mid-market</t>
        </is>
      </c>
      <c r="E62" s="18" t="inlineStr">
        <is>
          <t>C. Marín</t>
        </is>
      </c>
      <c r="F62" s="20" t="n">
        <v>70800</v>
      </c>
      <c r="G62" s="34" t="inlineStr">
        <is>
          <t>Standard list price</t>
        </is>
      </c>
    </row>
    <row r="63">
      <c r="A63" s="39" t="inlineStr">
        <is>
          <t>2024-07-15</t>
        </is>
      </c>
      <c r="B63" s="18" t="inlineStr">
        <is>
          <t>LATAM</t>
        </is>
      </c>
      <c r="C63" s="18" t="inlineStr">
        <is>
          <t>Warehouse Connect</t>
        </is>
      </c>
      <c r="D63" s="18" t="inlineStr">
        <is>
          <t>SMB</t>
        </is>
      </c>
      <c r="E63" s="18" t="inlineStr">
        <is>
          <t>C. Marín</t>
        </is>
      </c>
      <c r="F63" s="20" t="n">
        <v>58000</v>
      </c>
      <c r="G63" s="34" t="inlineStr">
        <is>
          <t>Multi-year prepay</t>
        </is>
      </c>
    </row>
    <row r="64">
      <c r="A64" s="39" t="inlineStr">
        <is>
          <t>2024-07-22</t>
        </is>
      </c>
      <c r="B64" s="18" t="inlineStr">
        <is>
          <t>EMEA</t>
        </is>
      </c>
      <c r="C64" s="18" t="inlineStr">
        <is>
          <t>Alerts add-on</t>
        </is>
      </c>
      <c r="D64" s="18" t="inlineStr">
        <is>
          <t>Mid-market</t>
        </is>
      </c>
      <c r="E64" s="18" t="inlineStr">
        <is>
          <t>E. Nakamura</t>
        </is>
      </c>
      <c r="F64" s="20" t="n">
        <v>11000</v>
      </c>
      <c r="G64" s="34" t="inlineStr">
        <is>
          <t>Standard list price</t>
        </is>
      </c>
    </row>
    <row r="65">
      <c r="A65" s="39" t="inlineStr">
        <is>
          <t>2024-07-29</t>
        </is>
      </c>
      <c r="B65" s="18" t="inlineStr">
        <is>
          <t>LATAM</t>
        </is>
      </c>
      <c r="C65" s="18" t="inlineStr">
        <is>
          <t>Alerts add-on</t>
        </is>
      </c>
      <c r="D65" s="18" t="inlineStr">
        <is>
          <t>SMB</t>
        </is>
      </c>
      <c r="E65" s="18" t="inlineStr">
        <is>
          <t>A. Okafor</t>
        </is>
      </c>
      <c r="F65" s="20" t="n">
        <v>153000</v>
      </c>
      <c r="G65" s="34" t="inlineStr">
        <is>
          <t>Competitive displacement</t>
        </is>
      </c>
    </row>
    <row r="66">
      <c r="A66" s="39" t="inlineStr">
        <is>
          <t>2024-07-05</t>
        </is>
      </c>
      <c r="B66" s="18" t="inlineStr">
        <is>
          <t>APAC</t>
        </is>
      </c>
      <c r="C66" s="18" t="inlineStr">
        <is>
          <t>Warehouse Connect</t>
        </is>
      </c>
      <c r="D66" s="18" t="inlineStr">
        <is>
          <t>SMB</t>
        </is>
      </c>
      <c r="E66" s="18" t="inlineStr">
        <is>
          <t>E. Nakamura</t>
        </is>
      </c>
      <c r="F66" s="20" t="n">
        <v>33200</v>
      </c>
      <c r="G66" s="34" t="inlineStr">
        <is>
          <t>Co-term with parent</t>
        </is>
      </c>
    </row>
    <row r="67">
      <c r="A67" s="39" t="inlineStr">
        <is>
          <t>2024-07-12</t>
        </is>
      </c>
      <c r="B67" s="18" t="inlineStr">
        <is>
          <t>LATAM</t>
        </is>
      </c>
      <c r="C67" s="18" t="inlineStr">
        <is>
          <t>Warehouse Connect</t>
        </is>
      </c>
      <c r="D67" s="18" t="inlineStr">
        <is>
          <t>Enterprise</t>
        </is>
      </c>
      <c r="E67" s="18" t="inlineStr">
        <is>
          <t>D. Chatterjee</t>
        </is>
      </c>
      <c r="F67" s="20" t="n">
        <v>34900</v>
      </c>
      <c r="G67" s="34" t="inlineStr">
        <is>
          <t>Renewal uplift 7%</t>
        </is>
      </c>
    </row>
    <row r="68">
      <c r="A68" s="39" t="inlineStr">
        <is>
          <t>2024-07-19</t>
        </is>
      </c>
      <c r="B68" s="18" t="inlineStr">
        <is>
          <t>LATAM</t>
        </is>
      </c>
      <c r="C68" s="18" t="inlineStr">
        <is>
          <t>Warehouse Connect</t>
        </is>
      </c>
      <c r="D68" s="18" t="inlineStr">
        <is>
          <t>Mid-market</t>
        </is>
      </c>
      <c r="E68" s="18" t="inlineStr">
        <is>
          <t>D. Chatterjee</t>
        </is>
      </c>
      <c r="F68" s="20" t="n">
        <v>25500</v>
      </c>
      <c r="G68" s="34" t="inlineStr">
        <is>
          <t>Standard list price</t>
        </is>
      </c>
    </row>
    <row r="69">
      <c r="A69" s="39" t="inlineStr">
        <is>
          <t>2024-07-26</t>
        </is>
      </c>
      <c r="B69" s="18" t="inlineStr">
        <is>
          <t>AMER West</t>
        </is>
      </c>
      <c r="C69" s="18" t="inlineStr">
        <is>
          <t>Embedded Reports</t>
        </is>
      </c>
      <c r="D69" s="18" t="inlineStr">
        <is>
          <t>SMB</t>
        </is>
      </c>
      <c r="E69" s="18" t="inlineStr">
        <is>
          <t>F. Duarte</t>
        </is>
      </c>
      <c r="F69" s="20" t="n">
        <v>10100</v>
      </c>
      <c r="G69" s="34" t="inlineStr">
        <is>
          <t>Co-term with parent</t>
        </is>
      </c>
    </row>
    <row r="70">
      <c r="A70" s="39" t="inlineStr">
        <is>
          <t>2024-07-02</t>
        </is>
      </c>
      <c r="B70" s="18" t="inlineStr">
        <is>
          <t>AMER West</t>
        </is>
      </c>
      <c r="C70" s="18" t="inlineStr">
        <is>
          <t>Alerts add-on</t>
        </is>
      </c>
      <c r="D70" s="18" t="inlineStr">
        <is>
          <t>Mid-market</t>
        </is>
      </c>
      <c r="E70" s="18" t="inlineStr">
        <is>
          <t>H. Vasquez</t>
        </is>
      </c>
      <c r="F70" s="20" t="n">
        <v>43800</v>
      </c>
      <c r="G70" s="34" t="inlineStr">
        <is>
          <t>Multi-year prepay</t>
        </is>
      </c>
    </row>
    <row r="71">
      <c r="A71" s="39" t="inlineStr">
        <is>
          <t>2024-07-09</t>
        </is>
      </c>
      <c r="B71" s="18" t="inlineStr">
        <is>
          <t>APAC</t>
        </is>
      </c>
      <c r="C71" s="18" t="inlineStr">
        <is>
          <t>Alerts add-on</t>
        </is>
      </c>
      <c r="D71" s="18" t="inlineStr">
        <is>
          <t>Enterprise</t>
        </is>
      </c>
      <c r="E71" s="18" t="inlineStr">
        <is>
          <t>J. Adeyemi</t>
        </is>
      </c>
      <c r="F71" s="20" t="n">
        <v>56000</v>
      </c>
      <c r="G71" s="34" t="inlineStr">
        <is>
          <t>Renewal uplift 7%</t>
        </is>
      </c>
    </row>
    <row r="72">
      <c r="A72" s="39" t="inlineStr">
        <is>
          <t>2024-07-16</t>
        </is>
      </c>
      <c r="B72" s="18" t="inlineStr">
        <is>
          <t>AMER West</t>
        </is>
      </c>
      <c r="C72" s="18" t="inlineStr">
        <is>
          <t>Signal Core</t>
        </is>
      </c>
      <c r="D72" s="18" t="inlineStr">
        <is>
          <t>SMB</t>
        </is>
      </c>
      <c r="E72" s="18" t="inlineStr">
        <is>
          <t>J. Adeyemi</t>
        </is>
      </c>
      <c r="F72" s="20" t="n">
        <v>6800</v>
      </c>
      <c r="G72" s="34" t="inlineStr">
        <is>
          <t>Partner-sourced</t>
        </is>
      </c>
    </row>
    <row r="73">
      <c r="A73" s="39" t="inlineStr">
        <is>
          <t>2024-07-23</t>
        </is>
      </c>
      <c r="B73" s="18" t="inlineStr">
        <is>
          <t>AMER East</t>
        </is>
      </c>
      <c r="C73" s="18" t="inlineStr">
        <is>
          <t>Signal Core</t>
        </is>
      </c>
      <c r="D73" s="18" t="inlineStr">
        <is>
          <t>Mid-market</t>
        </is>
      </c>
      <c r="E73" s="18" t="inlineStr">
        <is>
          <t>A. Okafor</t>
        </is>
      </c>
      <c r="F73" s="20" t="n">
        <v>70500</v>
      </c>
      <c r="G73" s="34" t="inlineStr">
        <is>
          <t>Pilot converted</t>
        </is>
      </c>
    </row>
    <row r="74">
      <c r="A74" s="39" t="inlineStr">
        <is>
          <t>2024-07-30</t>
        </is>
      </c>
      <c r="B74" s="18" t="inlineStr">
        <is>
          <t>AMER West</t>
        </is>
      </c>
      <c r="C74" s="18" t="inlineStr">
        <is>
          <t>Warehouse Connect</t>
        </is>
      </c>
      <c r="D74" s="18" t="inlineStr">
        <is>
          <t>Enterprise</t>
        </is>
      </c>
      <c r="E74" s="18" t="inlineStr">
        <is>
          <t>J. Adeyemi</t>
        </is>
      </c>
      <c r="F74" s="20" t="n">
        <v>225600</v>
      </c>
      <c r="G74" s="34" t="inlineStr">
        <is>
          <t>Competitive displacement</t>
        </is>
      </c>
    </row>
    <row r="75">
      <c r="A75" s="39" t="inlineStr">
        <is>
          <t>2024-07-06</t>
        </is>
      </c>
      <c r="B75" s="18" t="inlineStr">
        <is>
          <t>LATAM</t>
        </is>
      </c>
      <c r="C75" s="18" t="inlineStr">
        <is>
          <t>Alerts add-on</t>
        </is>
      </c>
      <c r="D75" s="18" t="inlineStr">
        <is>
          <t>Enterprise</t>
        </is>
      </c>
      <c r="E75" s="18" t="inlineStr">
        <is>
          <t>E. Nakamura</t>
        </is>
      </c>
      <c r="F75" s="20" t="n">
        <v>71800</v>
      </c>
      <c r="G75" s="34" t="inlineStr">
        <is>
          <t>Co-term with parent</t>
        </is>
      </c>
    </row>
    <row r="76">
      <c r="A76" s="39" t="inlineStr">
        <is>
          <t>2024-07-13</t>
        </is>
      </c>
      <c r="B76" s="18" t="inlineStr">
        <is>
          <t>AMER East</t>
        </is>
      </c>
      <c r="C76" s="18" t="inlineStr">
        <is>
          <t>Alerts add-on</t>
        </is>
      </c>
      <c r="D76" s="18" t="inlineStr">
        <is>
          <t>Mid-market</t>
        </is>
      </c>
      <c r="E76" s="18" t="inlineStr">
        <is>
          <t>K. Sørensen</t>
        </is>
      </c>
      <c r="F76" s="20" t="n">
        <v>18800</v>
      </c>
      <c r="G76" s="34" t="inlineStr">
        <is>
          <t>Competitive displacement</t>
        </is>
      </c>
    </row>
    <row r="77">
      <c r="A77" s="39" t="inlineStr">
        <is>
          <t>2024-07-20</t>
        </is>
      </c>
      <c r="B77" s="18" t="inlineStr">
        <is>
          <t>APAC</t>
        </is>
      </c>
      <c r="C77" s="18" t="inlineStr">
        <is>
          <t>Signal Core</t>
        </is>
      </c>
      <c r="D77" s="18" t="inlineStr">
        <is>
          <t>Mid-market</t>
        </is>
      </c>
      <c r="E77" s="18" t="inlineStr">
        <is>
          <t>G. Halloran</t>
        </is>
      </c>
      <c r="F77" s="20" t="n">
        <v>178500</v>
      </c>
      <c r="G77" s="34" t="inlineStr">
        <is>
          <t>Multi-year prepay</t>
        </is>
      </c>
    </row>
    <row r="78">
      <c r="A78" s="39" t="inlineStr">
        <is>
          <t>2024-07-27</t>
        </is>
      </c>
      <c r="B78" s="18" t="inlineStr">
        <is>
          <t>LATAM</t>
        </is>
      </c>
      <c r="C78" s="18" t="inlineStr">
        <is>
          <t>Signal Core</t>
        </is>
      </c>
      <c r="D78" s="18" t="inlineStr">
        <is>
          <t>Mid-market</t>
        </is>
      </c>
      <c r="E78" s="18" t="inlineStr">
        <is>
          <t>C. Marín</t>
        </is>
      </c>
      <c r="F78" s="20" t="n">
        <v>91500</v>
      </c>
      <c r="G78" s="34" t="inlineStr">
        <is>
          <t>Renewal uplift 7%</t>
        </is>
      </c>
    </row>
    <row r="79">
      <c r="A79" s="39" t="inlineStr">
        <is>
          <t>2024-07-03</t>
        </is>
      </c>
      <c r="B79" s="18" t="inlineStr">
        <is>
          <t>APAC</t>
        </is>
      </c>
      <c r="C79" s="18" t="inlineStr">
        <is>
          <t>Warehouse Connect</t>
        </is>
      </c>
      <c r="D79" s="18" t="inlineStr">
        <is>
          <t>SMB</t>
        </is>
      </c>
      <c r="E79" s="18" t="inlineStr">
        <is>
          <t>B. Lindqvist</t>
        </is>
      </c>
      <c r="F79" s="20" t="n">
        <v>31100</v>
      </c>
      <c r="G79" s="34" t="inlineStr">
        <is>
          <t>Multi-year prepay</t>
        </is>
      </c>
    </row>
    <row r="80">
      <c r="A80" s="39" t="inlineStr">
        <is>
          <t>2024-07-10</t>
        </is>
      </c>
      <c r="B80" s="18" t="inlineStr">
        <is>
          <t>AMER West</t>
        </is>
      </c>
      <c r="C80" s="18" t="inlineStr">
        <is>
          <t>Signal Pro</t>
        </is>
      </c>
      <c r="D80" s="18" t="inlineStr">
        <is>
          <t>Mid-market</t>
        </is>
      </c>
      <c r="E80" s="18" t="inlineStr">
        <is>
          <t>C. Marín</t>
        </is>
      </c>
      <c r="F80" s="20" t="n">
        <v>75200</v>
      </c>
      <c r="G80" s="34" t="inlineStr">
        <is>
          <t>Renewal uplift 7%</t>
        </is>
      </c>
    </row>
    <row r="81">
      <c r="A81" s="39" t="inlineStr">
        <is>
          <t>2024-07-17</t>
        </is>
      </c>
      <c r="B81" s="18" t="inlineStr">
        <is>
          <t>AMER West</t>
        </is>
      </c>
      <c r="C81" s="18" t="inlineStr">
        <is>
          <t>Signal Pro</t>
        </is>
      </c>
      <c r="D81" s="18" t="inlineStr">
        <is>
          <t>Mid-market</t>
        </is>
      </c>
      <c r="E81" s="18" t="inlineStr">
        <is>
          <t>B. Lindqvist</t>
        </is>
      </c>
      <c r="F81" s="20" t="n">
        <v>6400</v>
      </c>
      <c r="G81" s="34" t="inlineStr">
        <is>
          <t>Renewal uplift 7%</t>
        </is>
      </c>
    </row>
    <row r="82">
      <c r="A82" s="39" t="inlineStr">
        <is>
          <t>2024-07-24</t>
        </is>
      </c>
      <c r="B82" s="18" t="inlineStr">
        <is>
          <t>APAC</t>
        </is>
      </c>
      <c r="C82" s="18" t="inlineStr">
        <is>
          <t>Embedded Reports</t>
        </is>
      </c>
      <c r="D82" s="18" t="inlineStr">
        <is>
          <t>Enterprise</t>
        </is>
      </c>
      <c r="E82" s="18" t="inlineStr">
        <is>
          <t>H. Vasquez</t>
        </is>
      </c>
      <c r="F82" s="20" t="n">
        <v>62300</v>
      </c>
      <c r="G82" s="34" t="inlineStr">
        <is>
          <t>Standard list price</t>
        </is>
      </c>
    </row>
    <row r="83">
      <c r="A83" s="39" t="inlineStr">
        <is>
          <t>2024-07-31</t>
        </is>
      </c>
      <c r="B83" s="18" t="inlineStr">
        <is>
          <t>LATAM</t>
        </is>
      </c>
      <c r="C83" s="18" t="inlineStr">
        <is>
          <t>Embedded Reports</t>
        </is>
      </c>
      <c r="D83" s="18" t="inlineStr">
        <is>
          <t>Mid-market</t>
        </is>
      </c>
      <c r="E83" s="18" t="inlineStr">
        <is>
          <t>F. Duarte</t>
        </is>
      </c>
      <c r="F83" s="20" t="n">
        <v>44600</v>
      </c>
      <c r="G83" s="34" t="inlineStr">
        <is>
          <t>Ramped deal, year one</t>
        </is>
      </c>
    </row>
    <row r="84">
      <c r="A84" s="39" t="inlineStr">
        <is>
          <t>2024-07-07</t>
        </is>
      </c>
      <c r="B84" s="18" t="inlineStr">
        <is>
          <t>AMER East</t>
        </is>
      </c>
      <c r="C84" s="18" t="inlineStr">
        <is>
          <t>Signal Core</t>
        </is>
      </c>
      <c r="D84" s="18" t="inlineStr">
        <is>
          <t>Enterprise</t>
        </is>
      </c>
      <c r="E84" s="18" t="inlineStr">
        <is>
          <t>C. Marín</t>
        </is>
      </c>
      <c r="F84" s="20" t="n">
        <v>6000</v>
      </c>
      <c r="G84" s="34" t="inlineStr">
        <is>
          <t>Co-term with parent</t>
        </is>
      </c>
    </row>
    <row r="85">
      <c r="A85" s="39" t="inlineStr">
        <is>
          <t>2024-07-14</t>
        </is>
      </c>
      <c r="B85" s="18" t="inlineStr">
        <is>
          <t>APAC</t>
        </is>
      </c>
      <c r="C85" s="18" t="inlineStr">
        <is>
          <t>Signal Pro</t>
        </is>
      </c>
      <c r="D85" s="18" t="inlineStr">
        <is>
          <t>Mid-market</t>
        </is>
      </c>
      <c r="E85" s="18" t="inlineStr">
        <is>
          <t>A. Okafor</t>
        </is>
      </c>
      <c r="F85" s="20" t="n">
        <v>6100</v>
      </c>
      <c r="G85" s="34" t="inlineStr">
        <is>
          <t>Partner-sourced</t>
        </is>
      </c>
    </row>
    <row r="86">
      <c r="A86" s="39" t="inlineStr">
        <is>
          <t>2024-07-21</t>
        </is>
      </c>
      <c r="B86" s="18" t="inlineStr">
        <is>
          <t>AMER East</t>
        </is>
      </c>
      <c r="C86" s="18" t="inlineStr">
        <is>
          <t>Signal Core</t>
        </is>
      </c>
      <c r="D86" s="18" t="inlineStr">
        <is>
          <t>Mid-market</t>
        </is>
      </c>
      <c r="E86" s="18" t="inlineStr">
        <is>
          <t>E. Nakamura</t>
        </is>
      </c>
      <c r="F86" s="20" t="n">
        <v>68700</v>
      </c>
      <c r="G86" s="34" t="inlineStr">
        <is>
          <t>Ramped deal, year one</t>
        </is>
      </c>
    </row>
    <row r="87">
      <c r="A87" s="39" t="inlineStr">
        <is>
          <t>2024-07-28</t>
        </is>
      </c>
      <c r="B87" s="18" t="inlineStr">
        <is>
          <t>EMEA</t>
        </is>
      </c>
      <c r="C87" s="18" t="inlineStr">
        <is>
          <t>Embedded Reports</t>
        </is>
      </c>
      <c r="D87" s="18" t="inlineStr">
        <is>
          <t>Enterprise</t>
        </is>
      </c>
      <c r="E87" s="18" t="inlineStr">
        <is>
          <t>G. Halloran</t>
        </is>
      </c>
      <c r="F87" s="20" t="n">
        <v>79000</v>
      </c>
      <c r="G87" s="34" t="inlineStr">
        <is>
          <t>Co-term with parent</t>
        </is>
      </c>
    </row>
    <row r="88">
      <c r="A88" s="39" t="inlineStr">
        <is>
          <t>2024-07-04</t>
        </is>
      </c>
      <c r="B88" s="18" t="inlineStr">
        <is>
          <t>EMEA</t>
        </is>
      </c>
      <c r="C88" s="18" t="inlineStr">
        <is>
          <t>Signal Pro</t>
        </is>
      </c>
      <c r="D88" s="18" t="inlineStr">
        <is>
          <t>SMB</t>
        </is>
      </c>
      <c r="E88" s="18" t="inlineStr">
        <is>
          <t>A. Okafor</t>
        </is>
      </c>
      <c r="F88" s="20" t="n">
        <v>40000</v>
      </c>
      <c r="G88" s="34" t="inlineStr">
        <is>
          <t>Pilot converted</t>
        </is>
      </c>
    </row>
    <row r="89">
      <c r="A89" s="39" t="inlineStr">
        <is>
          <t>2024-07-11</t>
        </is>
      </c>
      <c r="B89" s="18" t="inlineStr">
        <is>
          <t>AMER East</t>
        </is>
      </c>
      <c r="C89" s="18" t="inlineStr">
        <is>
          <t>Signal Pro</t>
        </is>
      </c>
      <c r="D89" s="18" t="inlineStr">
        <is>
          <t>Enterprise</t>
        </is>
      </c>
      <c r="E89" s="18" t="inlineStr">
        <is>
          <t>J. Adeyemi</t>
        </is>
      </c>
      <c r="F89" s="20" t="n">
        <v>41000</v>
      </c>
      <c r="G89" s="34" t="inlineStr">
        <is>
          <t>Co-term with parent</t>
        </is>
      </c>
    </row>
    <row r="90">
      <c r="A90" s="39" t="inlineStr">
        <is>
          <t>2024-07-18</t>
        </is>
      </c>
      <c r="B90" s="18" t="inlineStr">
        <is>
          <t>AMER West</t>
        </is>
      </c>
      <c r="C90" s="18" t="inlineStr">
        <is>
          <t>Warehouse Connect</t>
        </is>
      </c>
      <c r="D90" s="18" t="inlineStr">
        <is>
          <t>Enterprise</t>
        </is>
      </c>
      <c r="E90" s="18" t="inlineStr">
        <is>
          <t>G. Halloran</t>
        </is>
      </c>
      <c r="F90" s="20" t="n">
        <v>69000</v>
      </c>
      <c r="G90" s="34" t="inlineStr">
        <is>
          <t>Multi-year prepay</t>
        </is>
      </c>
    </row>
    <row r="91">
      <c r="A91" s="39" t="inlineStr">
        <is>
          <t>2024-07-25</t>
        </is>
      </c>
      <c r="B91" s="18" t="inlineStr">
        <is>
          <t>AMER East</t>
        </is>
      </c>
      <c r="C91" s="18" t="inlineStr">
        <is>
          <t>Embedded Reports</t>
        </is>
      </c>
      <c r="D91" s="18" t="inlineStr">
        <is>
          <t>SMB</t>
        </is>
      </c>
      <c r="E91" s="18" t="inlineStr">
        <is>
          <t>K. Sørensen</t>
        </is>
      </c>
      <c r="F91" s="20" t="n">
        <v>71000</v>
      </c>
      <c r="G91" s="34" t="inlineStr">
        <is>
          <t>Ramped deal, year one</t>
        </is>
      </c>
    </row>
    <row r="92">
      <c r="A92" s="39" t="inlineStr">
        <is>
          <t>2024-07-01</t>
        </is>
      </c>
      <c r="B92" s="18" t="inlineStr">
        <is>
          <t>LATAM</t>
        </is>
      </c>
      <c r="C92" s="18" t="inlineStr">
        <is>
          <t>Embedded Reports</t>
        </is>
      </c>
      <c r="D92" s="18" t="inlineStr">
        <is>
          <t>SMB</t>
        </is>
      </c>
      <c r="E92" s="18" t="inlineStr">
        <is>
          <t>D. Chatterjee</t>
        </is>
      </c>
      <c r="F92" s="20" t="n">
        <v>54400</v>
      </c>
      <c r="G92" s="34" t="inlineStr">
        <is>
          <t>Standard list price</t>
        </is>
      </c>
    </row>
    <row r="93">
      <c r="A93" s="39" t="inlineStr">
        <is>
          <t>2024-07-08</t>
        </is>
      </c>
      <c r="B93" s="18" t="inlineStr">
        <is>
          <t>EMEA</t>
        </is>
      </c>
      <c r="C93" s="18" t="inlineStr">
        <is>
          <t>Signal Core</t>
        </is>
      </c>
      <c r="D93" s="18" t="inlineStr">
        <is>
          <t>Mid-market</t>
        </is>
      </c>
      <c r="E93" s="18" t="inlineStr">
        <is>
          <t>H. Vasquez</t>
        </is>
      </c>
      <c r="F93" s="20" t="n">
        <v>80800</v>
      </c>
      <c r="G93" s="34" t="inlineStr">
        <is>
          <t>Ramped deal, year one</t>
        </is>
      </c>
    </row>
    <row r="94">
      <c r="A94" s="39" t="inlineStr">
        <is>
          <t>2024-07-15</t>
        </is>
      </c>
      <c r="B94" s="18" t="inlineStr">
        <is>
          <t>AMER East</t>
        </is>
      </c>
      <c r="C94" s="18" t="inlineStr">
        <is>
          <t>Signal Pro</t>
        </is>
      </c>
      <c r="D94" s="18" t="inlineStr">
        <is>
          <t>SMB</t>
        </is>
      </c>
      <c r="E94" s="18" t="inlineStr">
        <is>
          <t>A. Okafor</t>
        </is>
      </c>
      <c r="F94" s="20" t="n">
        <v>51600</v>
      </c>
      <c r="G94" s="34" t="inlineStr">
        <is>
          <t>Co-term with parent</t>
        </is>
      </c>
    </row>
    <row r="95">
      <c r="A95" s="39" t="inlineStr">
        <is>
          <t>2024-07-22</t>
        </is>
      </c>
      <c r="B95" s="18" t="inlineStr">
        <is>
          <t>AMER West</t>
        </is>
      </c>
      <c r="C95" s="18" t="inlineStr">
        <is>
          <t>Alerts add-on</t>
        </is>
      </c>
      <c r="D95" s="18" t="inlineStr">
        <is>
          <t>Enterprise</t>
        </is>
      </c>
      <c r="E95" s="18" t="inlineStr">
        <is>
          <t>F. Duarte</t>
        </is>
      </c>
      <c r="F95" s="20" t="n">
        <v>51300</v>
      </c>
      <c r="G95" s="34" t="inlineStr">
        <is>
          <t>Pilot converted</t>
        </is>
      </c>
    </row>
    <row r="96">
      <c r="A96" s="39" t="inlineStr">
        <is>
          <t>2024-07-29</t>
        </is>
      </c>
      <c r="B96" s="18" t="inlineStr">
        <is>
          <t>AMER East</t>
        </is>
      </c>
      <c r="C96" s="18" t="inlineStr">
        <is>
          <t>Embedded Reports</t>
        </is>
      </c>
      <c r="D96" s="18" t="inlineStr">
        <is>
          <t>Enterprise</t>
        </is>
      </c>
      <c r="E96" s="18" t="inlineStr">
        <is>
          <t>F. Duarte</t>
        </is>
      </c>
      <c r="F96" s="20" t="n">
        <v>46000</v>
      </c>
      <c r="G96" s="34" t="inlineStr">
        <is>
          <t>Pilot converted</t>
        </is>
      </c>
    </row>
    <row r="97">
      <c r="A97" s="39" t="inlineStr">
        <is>
          <t>2024-07-05</t>
        </is>
      </c>
      <c r="B97" s="18" t="inlineStr">
        <is>
          <t>APAC</t>
        </is>
      </c>
      <c r="C97" s="18" t="inlineStr">
        <is>
          <t>Alerts add-on</t>
        </is>
      </c>
      <c r="D97" s="18" t="inlineStr">
        <is>
          <t>Enterprise</t>
        </is>
      </c>
      <c r="E97" s="18" t="inlineStr">
        <is>
          <t>F. Duarte</t>
        </is>
      </c>
      <c r="F97" s="20" t="n">
        <v>57300</v>
      </c>
      <c r="G97" s="34" t="inlineStr">
        <is>
          <t>Multi-year prepay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2024-08-25</t>
        </is>
      </c>
      <c r="B2" s="18" t="inlineStr">
        <is>
          <t>APAC</t>
        </is>
      </c>
      <c r="C2" s="18" t="inlineStr">
        <is>
          <t>Signal Pro</t>
        </is>
      </c>
      <c r="D2" s="18" t="inlineStr">
        <is>
          <t>Mid-market</t>
        </is>
      </c>
      <c r="E2" s="18" t="inlineStr">
        <is>
          <t>E. Nakamura</t>
        </is>
      </c>
      <c r="F2" s="20" t="n">
        <v>29400</v>
      </c>
      <c r="G2" s="34" t="inlineStr">
        <is>
          <t>Rebate carried from legacy 10% promo</t>
        </is>
      </c>
    </row>
    <row r="3">
      <c r="A3" s="39" t="inlineStr">
        <is>
          <t>2024-08-01</t>
        </is>
      </c>
      <c r="B3" s="18" t="inlineStr">
        <is>
          <t>AMER West</t>
        </is>
      </c>
      <c r="C3" s="18" t="inlineStr">
        <is>
          <t>Signal Core</t>
        </is>
      </c>
      <c r="D3" s="18" t="inlineStr">
        <is>
          <t>Mid-market</t>
        </is>
      </c>
      <c r="E3" s="18" t="inlineStr">
        <is>
          <t>C. Marín</t>
        </is>
      </c>
      <c r="F3" s="20" t="n">
        <v>35400</v>
      </c>
      <c r="G3" s="34" t="inlineStr">
        <is>
          <t>Partner-sourced</t>
        </is>
      </c>
    </row>
    <row r="4">
      <c r="A4" s="39" t="inlineStr">
        <is>
          <t>2024-08-08</t>
        </is>
      </c>
      <c r="B4" s="18" t="inlineStr">
        <is>
          <t>APAC</t>
        </is>
      </c>
      <c r="C4" s="18" t="inlineStr">
        <is>
          <t>Alerts add-on</t>
        </is>
      </c>
      <c r="D4" s="18" t="inlineStr">
        <is>
          <t>Enterprise</t>
        </is>
      </c>
      <c r="E4" s="18" t="inlineStr">
        <is>
          <t>K. Sørensen</t>
        </is>
      </c>
      <c r="F4" s="20" t="n">
        <v>158400</v>
      </c>
      <c r="G4" s="34" t="inlineStr">
        <is>
          <t>Ramped deal, year one</t>
        </is>
      </c>
    </row>
    <row r="5">
      <c r="A5" s="39" t="inlineStr">
        <is>
          <t>2024-08-15</t>
        </is>
      </c>
      <c r="B5" s="18" t="inlineStr">
        <is>
          <t>AMER East</t>
        </is>
      </c>
      <c r="C5" s="18" t="inlineStr">
        <is>
          <t>Embedded Reports</t>
        </is>
      </c>
      <c r="D5" s="18" t="inlineStr">
        <is>
          <t>SMB</t>
        </is>
      </c>
      <c r="E5" s="18" t="inlineStr">
        <is>
          <t>A. Okafor</t>
        </is>
      </c>
      <c r="F5" s="20" t="n">
        <v>120300</v>
      </c>
      <c r="G5" s="34" t="inlineStr">
        <is>
          <t>Standard list price</t>
        </is>
      </c>
    </row>
    <row r="6">
      <c r="A6" s="39" t="inlineStr">
        <is>
          <t>2024-08-22</t>
        </is>
      </c>
      <c r="B6" s="18" t="inlineStr">
        <is>
          <t>LATAM</t>
        </is>
      </c>
      <c r="C6" s="18" t="inlineStr">
        <is>
          <t>Warehouse Connect</t>
        </is>
      </c>
      <c r="D6" s="18" t="inlineStr">
        <is>
          <t>Enterprise</t>
        </is>
      </c>
      <c r="E6" s="18" t="inlineStr">
        <is>
          <t>B. Lindqvist</t>
        </is>
      </c>
      <c r="F6" s="20" t="n">
        <v>203400</v>
      </c>
      <c r="G6" s="34" t="inlineStr">
        <is>
          <t>Co-term with parent</t>
        </is>
      </c>
    </row>
    <row r="7">
      <c r="A7" s="39" t="inlineStr">
        <is>
          <t>2024-08-29</t>
        </is>
      </c>
      <c r="B7" s="18" t="inlineStr">
        <is>
          <t>AMER East</t>
        </is>
      </c>
      <c r="C7" s="18" t="inlineStr">
        <is>
          <t>Signal Pro</t>
        </is>
      </c>
      <c r="D7" s="18" t="inlineStr">
        <is>
          <t>Enterprise</t>
        </is>
      </c>
      <c r="E7" s="18" t="inlineStr">
        <is>
          <t>D. Chatterjee</t>
        </is>
      </c>
      <c r="F7" s="20" t="n">
        <v>27200</v>
      </c>
      <c r="G7" s="34" t="inlineStr">
        <is>
          <t>Standard list price</t>
        </is>
      </c>
    </row>
    <row r="8">
      <c r="A8" s="39" t="inlineStr">
        <is>
          <t>2024-08-05</t>
        </is>
      </c>
      <c r="B8" s="18" t="inlineStr">
        <is>
          <t>AMER East</t>
        </is>
      </c>
      <c r="C8" s="18" t="inlineStr">
        <is>
          <t>Embedded Reports</t>
        </is>
      </c>
      <c r="D8" s="18" t="inlineStr">
        <is>
          <t>Enterprise</t>
        </is>
      </c>
      <c r="E8" s="18" t="inlineStr">
        <is>
          <t>G. Halloran</t>
        </is>
      </c>
      <c r="F8" s="20" t="n">
        <v>28800</v>
      </c>
      <c r="G8" s="34" t="inlineStr">
        <is>
          <t>Multi-year prepay</t>
        </is>
      </c>
    </row>
    <row r="9">
      <c r="A9" s="39" t="inlineStr">
        <is>
          <t>2024-08-12</t>
        </is>
      </c>
      <c r="B9" s="18" t="inlineStr">
        <is>
          <t>AMER West</t>
        </is>
      </c>
      <c r="C9" s="18" t="inlineStr">
        <is>
          <t>Alerts add-on</t>
        </is>
      </c>
      <c r="D9" s="18" t="inlineStr">
        <is>
          <t>Enterprise</t>
        </is>
      </c>
      <c r="E9" s="18" t="inlineStr">
        <is>
          <t>E. Nakamura</t>
        </is>
      </c>
      <c r="F9" s="20" t="n">
        <v>5700</v>
      </c>
      <c r="G9" s="34" t="inlineStr">
        <is>
          <t>Multi-year prepay</t>
        </is>
      </c>
    </row>
    <row r="10">
      <c r="A10" s="39" t="inlineStr">
        <is>
          <t>2024-08-19</t>
        </is>
      </c>
      <c r="B10" s="18" t="inlineStr">
        <is>
          <t>LATAM</t>
        </is>
      </c>
      <c r="C10" s="18" t="inlineStr">
        <is>
          <t>Signal Pro</t>
        </is>
      </c>
      <c r="D10" s="18" t="inlineStr">
        <is>
          <t>Enterprise</t>
        </is>
      </c>
      <c r="E10" s="18" t="inlineStr">
        <is>
          <t>E. Nakamura</t>
        </is>
      </c>
      <c r="F10" s="20" t="n">
        <v>15900</v>
      </c>
      <c r="G10" s="34" t="inlineStr">
        <is>
          <t>Competitive displacement</t>
        </is>
      </c>
    </row>
    <row r="11">
      <c r="A11" s="39" t="inlineStr">
        <is>
          <t>2024-08-26</t>
        </is>
      </c>
      <c r="B11" s="18" t="inlineStr">
        <is>
          <t>AMER West</t>
        </is>
      </c>
      <c r="C11" s="18" t="inlineStr">
        <is>
          <t>Embedded Reports</t>
        </is>
      </c>
      <c r="D11" s="18" t="inlineStr">
        <is>
          <t>SMB</t>
        </is>
      </c>
      <c r="E11" s="18" t="inlineStr">
        <is>
          <t>D. Chatterjee</t>
        </is>
      </c>
      <c r="F11" s="20" t="n">
        <v>36400</v>
      </c>
      <c r="G11" s="34" t="inlineStr">
        <is>
          <t>Partner-sourced</t>
        </is>
      </c>
    </row>
    <row r="12">
      <c r="A12" s="39" t="inlineStr">
        <is>
          <t>2024-08-02</t>
        </is>
      </c>
      <c r="B12" s="18" t="inlineStr">
        <is>
          <t>AMER West</t>
        </is>
      </c>
      <c r="C12" s="18" t="inlineStr">
        <is>
          <t>Embedded Reports</t>
        </is>
      </c>
      <c r="D12" s="18" t="inlineStr">
        <is>
          <t>Enterprise</t>
        </is>
      </c>
      <c r="E12" s="18" t="inlineStr">
        <is>
          <t>C. Marín</t>
        </is>
      </c>
      <c r="F12" s="20" t="n">
        <v>196800</v>
      </c>
      <c r="G12" s="34" t="inlineStr">
        <is>
          <t>Standard list price</t>
        </is>
      </c>
    </row>
    <row r="13">
      <c r="A13" s="39" t="inlineStr">
        <is>
          <t>2024-08-09</t>
        </is>
      </c>
      <c r="B13" s="18" t="inlineStr">
        <is>
          <t>EMEA</t>
        </is>
      </c>
      <c r="C13" s="18" t="inlineStr">
        <is>
          <t>Warehouse Connect</t>
        </is>
      </c>
      <c r="D13" s="18" t="inlineStr">
        <is>
          <t>Mid-market</t>
        </is>
      </c>
      <c r="E13" s="18" t="inlineStr">
        <is>
          <t>E. Nakamura</t>
        </is>
      </c>
      <c r="F13" s="20" t="n">
        <v>101000</v>
      </c>
      <c r="G13" s="34" t="inlineStr">
        <is>
          <t>Standard list price</t>
        </is>
      </c>
    </row>
    <row r="14">
      <c r="A14" s="39" t="inlineStr">
        <is>
          <t>2024-08-16</t>
        </is>
      </c>
      <c r="B14" s="18" t="inlineStr">
        <is>
          <t>AMER West</t>
        </is>
      </c>
      <c r="C14" s="18" t="inlineStr">
        <is>
          <t>Signal Core</t>
        </is>
      </c>
      <c r="D14" s="18" t="inlineStr">
        <is>
          <t>SMB</t>
        </is>
      </c>
      <c r="E14" s="18" t="inlineStr">
        <is>
          <t>H. Vasquez</t>
        </is>
      </c>
      <c r="F14" s="20" t="n">
        <v>20100</v>
      </c>
      <c r="G14" s="34" t="inlineStr">
        <is>
          <t>Renewal uplift 7%</t>
        </is>
      </c>
    </row>
    <row r="15">
      <c r="A15" s="39" t="inlineStr">
        <is>
          <t>2024-08-23</t>
        </is>
      </c>
      <c r="B15" s="18" t="inlineStr">
        <is>
          <t>APAC</t>
        </is>
      </c>
      <c r="C15" s="18" t="inlineStr">
        <is>
          <t>Embedded Reports</t>
        </is>
      </c>
      <c r="D15" s="18" t="inlineStr">
        <is>
          <t>Mid-market</t>
        </is>
      </c>
      <c r="E15" s="18" t="inlineStr">
        <is>
          <t>E. Nakamura</t>
        </is>
      </c>
      <c r="F15" s="20" t="n">
        <v>103600</v>
      </c>
      <c r="G15" s="34" t="inlineStr">
        <is>
          <t>Pilot converted</t>
        </is>
      </c>
    </row>
    <row r="16">
      <c r="A16" s="39" t="inlineStr">
        <is>
          <t>2024-08-30</t>
        </is>
      </c>
      <c r="B16" s="18" t="inlineStr">
        <is>
          <t>EMEA</t>
        </is>
      </c>
      <c r="C16" s="18" t="inlineStr">
        <is>
          <t>Signal Core</t>
        </is>
      </c>
      <c r="D16" s="18" t="inlineStr">
        <is>
          <t>SMB</t>
        </is>
      </c>
      <c r="E16" s="18" t="inlineStr">
        <is>
          <t>D. Chatterjee</t>
        </is>
      </c>
      <c r="F16" s="20" t="n">
        <v>27900</v>
      </c>
      <c r="G16" s="34" t="inlineStr">
        <is>
          <t>Ramped deal, year one</t>
        </is>
      </c>
    </row>
    <row r="17">
      <c r="A17" s="39" t="inlineStr">
        <is>
          <t>2024-08-06</t>
        </is>
      </c>
      <c r="B17" s="18" t="inlineStr">
        <is>
          <t>AMER West</t>
        </is>
      </c>
      <c r="C17" s="18" t="inlineStr">
        <is>
          <t>Warehouse Connect</t>
        </is>
      </c>
      <c r="D17" s="18" t="inlineStr">
        <is>
          <t>Enterprise</t>
        </is>
      </c>
      <c r="E17" s="18" t="inlineStr">
        <is>
          <t>A. Okafor</t>
        </is>
      </c>
      <c r="F17" s="20" t="n">
        <v>108200</v>
      </c>
      <c r="G17" s="34" t="inlineStr">
        <is>
          <t>Competitive displacement</t>
        </is>
      </c>
    </row>
    <row r="18">
      <c r="A18" s="39" t="inlineStr">
        <is>
          <t>2024-08-13</t>
        </is>
      </c>
      <c r="B18" s="18" t="inlineStr">
        <is>
          <t>LATAM</t>
        </is>
      </c>
      <c r="C18" s="18" t="inlineStr">
        <is>
          <t>Alerts add-on</t>
        </is>
      </c>
      <c r="D18" s="18" t="inlineStr">
        <is>
          <t>Enterprise</t>
        </is>
      </c>
      <c r="E18" s="18" t="inlineStr">
        <is>
          <t>B. Lindqvist</t>
        </is>
      </c>
      <c r="F18" s="20" t="n">
        <v>139200</v>
      </c>
      <c r="G18" s="34" t="inlineStr">
        <is>
          <t>Pilot converted</t>
        </is>
      </c>
    </row>
    <row r="19">
      <c r="A19" s="39" t="inlineStr">
        <is>
          <t>2024-08-20</t>
        </is>
      </c>
      <c r="B19" s="18" t="inlineStr">
        <is>
          <t>AMER East</t>
        </is>
      </c>
      <c r="C19" s="18" t="inlineStr">
        <is>
          <t>Warehouse Connect</t>
        </is>
      </c>
      <c r="D19" s="18" t="inlineStr">
        <is>
          <t>Enterprise</t>
        </is>
      </c>
      <c r="E19" s="18" t="inlineStr">
        <is>
          <t>C. Marín</t>
        </is>
      </c>
      <c r="F19" s="20" t="n">
        <v>34400</v>
      </c>
      <c r="G19" s="34" t="inlineStr">
        <is>
          <t>Competitive displacement</t>
        </is>
      </c>
    </row>
    <row r="20">
      <c r="A20" s="39" t="inlineStr">
        <is>
          <t>2024-08-27</t>
        </is>
      </c>
      <c r="B20" s="18" t="inlineStr">
        <is>
          <t>AMER West</t>
        </is>
      </c>
      <c r="C20" s="18" t="inlineStr">
        <is>
          <t>Alerts add-on</t>
        </is>
      </c>
      <c r="D20" s="18" t="inlineStr">
        <is>
          <t>SMB</t>
        </is>
      </c>
      <c r="E20" s="18" t="inlineStr">
        <is>
          <t>D. Chatterjee</t>
        </is>
      </c>
      <c r="F20" s="20" t="n">
        <v>58200</v>
      </c>
      <c r="G20" s="34" t="inlineStr">
        <is>
          <t>Pilot converted</t>
        </is>
      </c>
    </row>
    <row r="21">
      <c r="A21" s="39" t="inlineStr">
        <is>
          <t>2024-08-03</t>
        </is>
      </c>
      <c r="B21" s="18" t="inlineStr">
        <is>
          <t>LATAM</t>
        </is>
      </c>
      <c r="C21" s="18" t="inlineStr">
        <is>
          <t>Alerts add-on</t>
        </is>
      </c>
      <c r="D21" s="18" t="inlineStr">
        <is>
          <t>SMB</t>
        </is>
      </c>
      <c r="E21" s="18" t="inlineStr">
        <is>
          <t>A. Okafor</t>
        </is>
      </c>
      <c r="F21" s="20" t="n">
        <v>47800</v>
      </c>
      <c r="G21" s="34" t="inlineStr">
        <is>
          <t>Competitive displacement</t>
        </is>
      </c>
    </row>
    <row r="22">
      <c r="A22" s="39" t="inlineStr">
        <is>
          <t>2024-08-10</t>
        </is>
      </c>
      <c r="B22" s="18" t="inlineStr">
        <is>
          <t>AMER East</t>
        </is>
      </c>
      <c r="C22" s="18" t="inlineStr">
        <is>
          <t>Embedded Reports</t>
        </is>
      </c>
      <c r="D22" s="18" t="inlineStr">
        <is>
          <t>SMB</t>
        </is>
      </c>
      <c r="E22" s="18" t="inlineStr">
        <is>
          <t>K. Sørensen</t>
        </is>
      </c>
      <c r="F22" s="20" t="n">
        <v>26700</v>
      </c>
      <c r="G22" s="34" t="inlineStr">
        <is>
          <t>Renewal uplift 7%</t>
        </is>
      </c>
    </row>
    <row r="23">
      <c r="A23" s="39" t="inlineStr">
        <is>
          <t>2024-08-17</t>
        </is>
      </c>
      <c r="B23" s="18" t="inlineStr">
        <is>
          <t>EMEA</t>
        </is>
      </c>
      <c r="C23" s="18" t="inlineStr">
        <is>
          <t>Embedded Reports</t>
        </is>
      </c>
      <c r="D23" s="18" t="inlineStr">
        <is>
          <t>SMB</t>
        </is>
      </c>
      <c r="E23" s="18" t="inlineStr">
        <is>
          <t>G. Halloran</t>
        </is>
      </c>
      <c r="F23" s="20" t="n">
        <v>91200</v>
      </c>
      <c r="G23" s="34" t="inlineStr">
        <is>
          <t>Multi-year prepay</t>
        </is>
      </c>
    </row>
    <row r="24">
      <c r="A24" s="39" t="inlineStr">
        <is>
          <t>2024-08-24</t>
        </is>
      </c>
      <c r="B24" s="18" t="inlineStr">
        <is>
          <t>LATAM</t>
        </is>
      </c>
      <c r="C24" s="18" t="inlineStr">
        <is>
          <t>Signal Core</t>
        </is>
      </c>
      <c r="D24" s="18" t="inlineStr">
        <is>
          <t>Enterprise</t>
        </is>
      </c>
      <c r="E24" s="18" t="inlineStr">
        <is>
          <t>D. Chatterjee</t>
        </is>
      </c>
      <c r="F24" s="20" t="n">
        <v>14800</v>
      </c>
      <c r="G24" s="34" t="inlineStr">
        <is>
          <t>Multi-year prepay</t>
        </is>
      </c>
    </row>
    <row r="25">
      <c r="A25" s="39" t="inlineStr">
        <is>
          <t>2024-08-31</t>
        </is>
      </c>
      <c r="B25" s="18" t="inlineStr">
        <is>
          <t>AMER West</t>
        </is>
      </c>
      <c r="C25" s="18" t="inlineStr">
        <is>
          <t>Alerts add-on</t>
        </is>
      </c>
      <c r="D25" s="18" t="inlineStr">
        <is>
          <t>Mid-market</t>
        </is>
      </c>
      <c r="E25" s="18" t="inlineStr">
        <is>
          <t>B. Lindqvist</t>
        </is>
      </c>
      <c r="F25" s="20" t="n">
        <v>56500</v>
      </c>
      <c r="G25" s="34" t="inlineStr">
        <is>
          <t>Multi-year prepay</t>
        </is>
      </c>
    </row>
    <row r="26">
      <c r="A26" s="39" t="inlineStr">
        <is>
          <t>2024-08-07</t>
        </is>
      </c>
      <c r="B26" s="18" t="inlineStr">
        <is>
          <t>AMER East</t>
        </is>
      </c>
      <c r="C26" s="18" t="inlineStr">
        <is>
          <t>Signal Core</t>
        </is>
      </c>
      <c r="D26" s="18" t="inlineStr">
        <is>
          <t>SMB</t>
        </is>
      </c>
      <c r="E26" s="18" t="inlineStr">
        <is>
          <t>F. Duarte</t>
        </is>
      </c>
      <c r="F26" s="20" t="n">
        <v>43600</v>
      </c>
      <c r="G26" s="34" t="inlineStr">
        <is>
          <t>Standard list price</t>
        </is>
      </c>
    </row>
    <row r="27">
      <c r="A27" s="39" t="inlineStr">
        <is>
          <t>2024-08-14</t>
        </is>
      </c>
      <c r="B27" s="18" t="inlineStr">
        <is>
          <t>APAC</t>
        </is>
      </c>
      <c r="C27" s="18" t="inlineStr">
        <is>
          <t>Embedded Reports</t>
        </is>
      </c>
      <c r="D27" s="18" t="inlineStr">
        <is>
          <t>Enterprise</t>
        </is>
      </c>
      <c r="E27" s="18" t="inlineStr">
        <is>
          <t>D. Chatterjee</t>
        </is>
      </c>
      <c r="F27" s="20" t="n">
        <v>14900</v>
      </c>
      <c r="G27" s="34" t="inlineStr">
        <is>
          <t>Renewal uplift 7%</t>
        </is>
      </c>
    </row>
    <row r="28">
      <c r="A28" s="39" t="inlineStr">
        <is>
          <t>2024-08-21</t>
        </is>
      </c>
      <c r="B28" s="18" t="inlineStr">
        <is>
          <t>APAC</t>
        </is>
      </c>
      <c r="C28" s="18" t="inlineStr">
        <is>
          <t>Alerts add-on</t>
        </is>
      </c>
      <c r="D28" s="18" t="inlineStr">
        <is>
          <t>SMB</t>
        </is>
      </c>
      <c r="E28" s="18" t="inlineStr">
        <is>
          <t>E. Nakamura</t>
        </is>
      </c>
      <c r="F28" s="20" t="n">
        <v>6600</v>
      </c>
      <c r="G28" s="34" t="inlineStr">
        <is>
          <t>Renewal uplift 7%</t>
        </is>
      </c>
    </row>
    <row r="29">
      <c r="A29" s="39" t="inlineStr">
        <is>
          <t>2024-08-28</t>
        </is>
      </c>
      <c r="B29" s="18" t="inlineStr">
        <is>
          <t>APAC</t>
        </is>
      </c>
      <c r="C29" s="18" t="inlineStr">
        <is>
          <t>Embedded Reports</t>
        </is>
      </c>
      <c r="D29" s="18" t="inlineStr">
        <is>
          <t>Enterprise</t>
        </is>
      </c>
      <c r="E29" s="18" t="inlineStr">
        <is>
          <t>C. Marín</t>
        </is>
      </c>
      <c r="F29" s="20" t="n">
        <v>42500</v>
      </c>
      <c r="G29" s="34" t="inlineStr">
        <is>
          <t>Multi-year prepay</t>
        </is>
      </c>
    </row>
    <row r="30">
      <c r="A30" s="39" t="inlineStr">
        <is>
          <t>2024-08-04</t>
        </is>
      </c>
      <c r="B30" s="18" t="inlineStr">
        <is>
          <t>EMEA</t>
        </is>
      </c>
      <c r="C30" s="18" t="inlineStr">
        <is>
          <t>Alerts add-on</t>
        </is>
      </c>
      <c r="D30" s="18" t="inlineStr">
        <is>
          <t>Mid-market</t>
        </is>
      </c>
      <c r="E30" s="18" t="inlineStr">
        <is>
          <t>D. Chatterjee</t>
        </is>
      </c>
      <c r="F30" s="20" t="n">
        <v>65600</v>
      </c>
      <c r="G30" s="34" t="inlineStr">
        <is>
          <t>Multi-year prepay</t>
        </is>
      </c>
    </row>
    <row r="31">
      <c r="A31" s="39" t="inlineStr">
        <is>
          <t>2024-08-11</t>
        </is>
      </c>
      <c r="B31" s="18" t="inlineStr">
        <is>
          <t>APAC</t>
        </is>
      </c>
      <c r="C31" s="18" t="inlineStr">
        <is>
          <t>Warehouse Connect</t>
        </is>
      </c>
      <c r="D31" s="18" t="inlineStr">
        <is>
          <t>Enterprise</t>
        </is>
      </c>
      <c r="E31" s="18" t="inlineStr">
        <is>
          <t>E. Nakamura</t>
        </is>
      </c>
      <c r="F31" s="20" t="n">
        <v>30800</v>
      </c>
      <c r="G31" s="34" t="inlineStr">
        <is>
          <t>Co-term with parent</t>
        </is>
      </c>
    </row>
    <row r="32">
      <c r="A32" s="39" t="inlineStr">
        <is>
          <t>2024-08-18</t>
        </is>
      </c>
      <c r="B32" s="18" t="inlineStr">
        <is>
          <t>LATAM</t>
        </is>
      </c>
      <c r="C32" s="18" t="inlineStr">
        <is>
          <t>Embedded Reports</t>
        </is>
      </c>
      <c r="D32" s="18" t="inlineStr">
        <is>
          <t>Enterprise</t>
        </is>
      </c>
      <c r="E32" s="18" t="inlineStr">
        <is>
          <t>K. Sørensen</t>
        </is>
      </c>
      <c r="F32" s="20" t="n">
        <v>101600</v>
      </c>
      <c r="G32" s="34" t="inlineStr">
        <is>
          <t>Partner-sourced</t>
        </is>
      </c>
    </row>
    <row r="33">
      <c r="A33" s="39" t="inlineStr">
        <is>
          <t>2024-08-25</t>
        </is>
      </c>
      <c r="B33" s="18" t="inlineStr">
        <is>
          <t>EMEA</t>
        </is>
      </c>
      <c r="C33" s="18" t="inlineStr">
        <is>
          <t>Warehouse Connect</t>
        </is>
      </c>
      <c r="D33" s="18" t="inlineStr">
        <is>
          <t>Mid-market</t>
        </is>
      </c>
      <c r="E33" s="18" t="inlineStr">
        <is>
          <t>B. Lindqvist</t>
        </is>
      </c>
      <c r="F33" s="20" t="n">
        <v>51000</v>
      </c>
      <c r="G33" s="34" t="inlineStr">
        <is>
          <t>Renewal uplift 7%</t>
        </is>
      </c>
    </row>
    <row r="34">
      <c r="A34" s="39" t="inlineStr">
        <is>
          <t>2024-08-01</t>
        </is>
      </c>
      <c r="B34" s="18" t="inlineStr">
        <is>
          <t>APAC</t>
        </is>
      </c>
      <c r="C34" s="18" t="inlineStr">
        <is>
          <t>Signal Pro</t>
        </is>
      </c>
      <c r="D34" s="18" t="inlineStr">
        <is>
          <t>Mid-market</t>
        </is>
      </c>
      <c r="E34" s="18" t="inlineStr">
        <is>
          <t>G. Halloran</t>
        </is>
      </c>
      <c r="F34" s="20" t="n">
        <v>22700</v>
      </c>
      <c r="G34" s="34" t="inlineStr">
        <is>
          <t>Renewal uplift 7%</t>
        </is>
      </c>
    </row>
    <row r="35">
      <c r="A35" s="39" t="inlineStr">
        <is>
          <t>2024-08-08</t>
        </is>
      </c>
      <c r="B35" s="18" t="inlineStr">
        <is>
          <t>AMER East</t>
        </is>
      </c>
      <c r="C35" s="18" t="inlineStr">
        <is>
          <t>Warehouse Connect</t>
        </is>
      </c>
      <c r="D35" s="18" t="inlineStr">
        <is>
          <t>Enterprise</t>
        </is>
      </c>
      <c r="E35" s="18" t="inlineStr">
        <is>
          <t>G. Halloran</t>
        </is>
      </c>
      <c r="F35" s="20" t="n">
        <v>46000</v>
      </c>
      <c r="G35" s="34" t="inlineStr">
        <is>
          <t>Co-term with parent</t>
        </is>
      </c>
    </row>
    <row r="36">
      <c r="A36" s="39" t="inlineStr">
        <is>
          <t>2024-08-15</t>
        </is>
      </c>
      <c r="B36" s="18" t="inlineStr">
        <is>
          <t>APAC</t>
        </is>
      </c>
      <c r="C36" s="18" t="inlineStr">
        <is>
          <t>Embedded Reports</t>
        </is>
      </c>
      <c r="D36" s="18" t="inlineStr">
        <is>
          <t>Mid-market</t>
        </is>
      </c>
      <c r="E36" s="18" t="inlineStr">
        <is>
          <t>K. Sørensen</t>
        </is>
      </c>
      <c r="F36" s="20" t="n">
        <v>120300</v>
      </c>
      <c r="G36" s="34" t="inlineStr">
        <is>
          <t>Pilot converted</t>
        </is>
      </c>
    </row>
    <row r="37">
      <c r="A37" s="39" t="inlineStr">
        <is>
          <t>2024-08-22</t>
        </is>
      </c>
      <c r="B37" s="18" t="inlineStr">
        <is>
          <t>LATAM</t>
        </is>
      </c>
      <c r="C37" s="18" t="inlineStr">
        <is>
          <t>Embedded Reports</t>
        </is>
      </c>
      <c r="D37" s="18" t="inlineStr">
        <is>
          <t>Enterprise</t>
        </is>
      </c>
      <c r="E37" s="18" t="inlineStr">
        <is>
          <t>J. Adeyemi</t>
        </is>
      </c>
      <c r="F37" s="20" t="n">
        <v>21300</v>
      </c>
      <c r="G37" s="34" t="inlineStr">
        <is>
          <t>Multi-year prepay</t>
        </is>
      </c>
    </row>
    <row r="38">
      <c r="A38" s="39" t="inlineStr">
        <is>
          <t>2024-08-29</t>
        </is>
      </c>
      <c r="B38" s="18" t="inlineStr">
        <is>
          <t>APAC</t>
        </is>
      </c>
      <c r="C38" s="18" t="inlineStr">
        <is>
          <t>Alerts add-on</t>
        </is>
      </c>
      <c r="D38" s="18" t="inlineStr">
        <is>
          <t>SMB</t>
        </is>
      </c>
      <c r="E38" s="18" t="inlineStr">
        <is>
          <t>F. Duarte</t>
        </is>
      </c>
      <c r="F38" s="20" t="n">
        <v>68300</v>
      </c>
      <c r="G38" s="34" t="inlineStr">
        <is>
          <t>Renewal uplift 7%</t>
        </is>
      </c>
    </row>
    <row r="39">
      <c r="A39" s="39" t="inlineStr">
        <is>
          <t>2024-08-05</t>
        </is>
      </c>
      <c r="B39" s="18" t="inlineStr">
        <is>
          <t>EMEA</t>
        </is>
      </c>
      <c r="C39" s="18" t="inlineStr">
        <is>
          <t>Signal Pro</t>
        </is>
      </c>
      <c r="D39" s="18" t="inlineStr">
        <is>
          <t>SMB</t>
        </is>
      </c>
      <c r="E39" s="18" t="inlineStr">
        <is>
          <t>E. Nakamura</t>
        </is>
      </c>
      <c r="F39" s="20" t="n">
        <v>59100</v>
      </c>
      <c r="G39" s="34" t="inlineStr">
        <is>
          <t>Standard list price</t>
        </is>
      </c>
    </row>
    <row r="40">
      <c r="A40" s="39" t="inlineStr">
        <is>
          <t>2024-08-12</t>
        </is>
      </c>
      <c r="B40" s="18" t="inlineStr">
        <is>
          <t>LATAM</t>
        </is>
      </c>
      <c r="C40" s="18" t="inlineStr">
        <is>
          <t>Warehouse Connect</t>
        </is>
      </c>
      <c r="D40" s="18" t="inlineStr">
        <is>
          <t>Mid-market</t>
        </is>
      </c>
      <c r="E40" s="18" t="inlineStr">
        <is>
          <t>G. Halloran</t>
        </is>
      </c>
      <c r="F40" s="20" t="n">
        <v>17200</v>
      </c>
      <c r="G40" s="34" t="inlineStr">
        <is>
          <t>Multi-year prepay</t>
        </is>
      </c>
    </row>
    <row r="41">
      <c r="A41" s="39" t="inlineStr">
        <is>
          <t>2024-08-19</t>
        </is>
      </c>
      <c r="B41" s="18" t="inlineStr">
        <is>
          <t>EMEA</t>
        </is>
      </c>
      <c r="C41" s="18" t="inlineStr">
        <is>
          <t>Embedded Reports</t>
        </is>
      </c>
      <c r="D41" s="18" t="inlineStr">
        <is>
          <t>SMB</t>
        </is>
      </c>
      <c r="E41" s="18" t="inlineStr">
        <is>
          <t>H. Vasquez</t>
        </is>
      </c>
      <c r="F41" s="20" t="n">
        <v>29600</v>
      </c>
      <c r="G41" s="34" t="inlineStr">
        <is>
          <t>Renewal uplift 7%</t>
        </is>
      </c>
    </row>
    <row r="42">
      <c r="A42" s="39" t="inlineStr">
        <is>
          <t>2024-08-26</t>
        </is>
      </c>
      <c r="B42" s="18" t="inlineStr">
        <is>
          <t>AMER West</t>
        </is>
      </c>
      <c r="C42" s="18" t="inlineStr">
        <is>
          <t>Warehouse Connect</t>
        </is>
      </c>
      <c r="D42" s="18" t="inlineStr">
        <is>
          <t>Enterprise</t>
        </is>
      </c>
      <c r="E42" s="18" t="inlineStr">
        <is>
          <t>D. Chatterjee</t>
        </is>
      </c>
      <c r="F42" s="20" t="n">
        <v>62400</v>
      </c>
      <c r="G42" s="34" t="inlineStr">
        <is>
          <t>Competitive displacement</t>
        </is>
      </c>
    </row>
    <row r="43">
      <c r="A43" s="39" t="inlineStr">
        <is>
          <t>2024-08-02</t>
        </is>
      </c>
      <c r="B43" s="18" t="inlineStr">
        <is>
          <t>LATAM</t>
        </is>
      </c>
      <c r="C43" s="18" t="inlineStr">
        <is>
          <t>Alerts add-on</t>
        </is>
      </c>
      <c r="D43" s="18" t="inlineStr">
        <is>
          <t>Enterprise</t>
        </is>
      </c>
      <c r="E43" s="18" t="inlineStr">
        <is>
          <t>B. Lindqvist</t>
        </is>
      </c>
      <c r="F43" s="20" t="n">
        <v>9500</v>
      </c>
      <c r="G43" s="34" t="inlineStr">
        <is>
          <t>Partner-sourced</t>
        </is>
      </c>
    </row>
    <row r="44">
      <c r="A44" s="39" t="inlineStr">
        <is>
          <t>2024-08-09</t>
        </is>
      </c>
      <c r="B44" s="18" t="inlineStr">
        <is>
          <t>APAC</t>
        </is>
      </c>
      <c r="C44" s="18" t="inlineStr">
        <is>
          <t>Signal Core</t>
        </is>
      </c>
      <c r="D44" s="18" t="inlineStr">
        <is>
          <t>Enterprise</t>
        </is>
      </c>
      <c r="E44" s="18" t="inlineStr">
        <is>
          <t>B. Lindqvist</t>
        </is>
      </c>
      <c r="F44" s="20" t="n">
        <v>42800</v>
      </c>
      <c r="G44" s="34" t="inlineStr">
        <is>
          <t>Standard list price</t>
        </is>
      </c>
    </row>
    <row r="45">
      <c r="A45" s="39" t="inlineStr">
        <is>
          <t>2024-08-16</t>
        </is>
      </c>
      <c r="B45" s="18" t="inlineStr">
        <is>
          <t>APAC</t>
        </is>
      </c>
      <c r="C45" s="18" t="inlineStr">
        <is>
          <t>Warehouse Connect</t>
        </is>
      </c>
      <c r="D45" s="18" t="inlineStr">
        <is>
          <t>Mid-market</t>
        </is>
      </c>
      <c r="E45" s="18" t="inlineStr">
        <is>
          <t>E. Nakamura</t>
        </is>
      </c>
      <c r="F45" s="20" t="n">
        <v>18000</v>
      </c>
      <c r="G45" s="34" t="inlineStr">
        <is>
          <t>Multi-year prepay</t>
        </is>
      </c>
    </row>
    <row r="46">
      <c r="A46" s="39" t="inlineStr">
        <is>
          <t>2024-08-23</t>
        </is>
      </c>
      <c r="B46" s="18" t="inlineStr">
        <is>
          <t>AMER West</t>
        </is>
      </c>
      <c r="C46" s="18" t="inlineStr">
        <is>
          <t>Signal Core</t>
        </is>
      </c>
      <c r="D46" s="18" t="inlineStr">
        <is>
          <t>Mid-market</t>
        </is>
      </c>
      <c r="E46" s="18" t="inlineStr">
        <is>
          <t>H. Vasquez</t>
        </is>
      </c>
      <c r="F46" s="20" t="n">
        <v>30000</v>
      </c>
      <c r="G46" s="34" t="inlineStr">
        <is>
          <t>Renewal uplift 7%</t>
        </is>
      </c>
    </row>
    <row r="47">
      <c r="A47" s="39" t="inlineStr">
        <is>
          <t>2024-08-30</t>
        </is>
      </c>
      <c r="B47" s="18" t="inlineStr">
        <is>
          <t>LATAM</t>
        </is>
      </c>
      <c r="C47" s="18" t="inlineStr">
        <is>
          <t>Alerts add-on</t>
        </is>
      </c>
      <c r="D47" s="18" t="inlineStr">
        <is>
          <t>Enterprise</t>
        </is>
      </c>
      <c r="E47" s="18" t="inlineStr">
        <is>
          <t>B. Lindqvist</t>
        </is>
      </c>
      <c r="F47" s="20" t="n">
        <v>100200</v>
      </c>
      <c r="G47" s="34" t="inlineStr">
        <is>
          <t>Co-term with parent</t>
        </is>
      </c>
    </row>
    <row r="48">
      <c r="A48" s="39" t="inlineStr">
        <is>
          <t>2024-08-06</t>
        </is>
      </c>
      <c r="B48" s="18" t="inlineStr">
        <is>
          <t>LATAM</t>
        </is>
      </c>
      <c r="C48" s="18" t="inlineStr">
        <is>
          <t>Signal Core</t>
        </is>
      </c>
      <c r="D48" s="18" t="inlineStr">
        <is>
          <t>SMB</t>
        </is>
      </c>
      <c r="E48" s="18" t="inlineStr">
        <is>
          <t>K. Sørensen</t>
        </is>
      </c>
      <c r="F48" s="20" t="n">
        <v>9400</v>
      </c>
      <c r="G48" s="34" t="inlineStr">
        <is>
          <t>Competitive displacement</t>
        </is>
      </c>
    </row>
    <row r="49">
      <c r="A49" s="39" t="inlineStr">
        <is>
          <t>2024-08-13</t>
        </is>
      </c>
      <c r="B49" s="18" t="inlineStr">
        <is>
          <t>LATAM</t>
        </is>
      </c>
      <c r="C49" s="18" t="inlineStr">
        <is>
          <t>Signal Core</t>
        </is>
      </c>
      <c r="D49" s="18" t="inlineStr">
        <is>
          <t>SMB</t>
        </is>
      </c>
      <c r="E49" s="18" t="inlineStr">
        <is>
          <t>J. Adeyemi</t>
        </is>
      </c>
      <c r="F49" s="20" t="n">
        <v>50300</v>
      </c>
      <c r="G49" s="34" t="inlineStr">
        <is>
          <t>Partner-sourced</t>
        </is>
      </c>
    </row>
    <row r="50">
      <c r="A50" s="39" t="inlineStr">
        <is>
          <t>2024-08-20</t>
        </is>
      </c>
      <c r="B50" s="18" t="inlineStr">
        <is>
          <t>AMER East</t>
        </is>
      </c>
      <c r="C50" s="18" t="inlineStr">
        <is>
          <t>Warehouse Connect</t>
        </is>
      </c>
      <c r="D50" s="18" t="inlineStr">
        <is>
          <t>SMB</t>
        </is>
      </c>
      <c r="E50" s="18" t="inlineStr">
        <is>
          <t>C. Marín</t>
        </is>
      </c>
      <c r="F50" s="20" t="n">
        <v>194400</v>
      </c>
      <c r="G50" s="34" t="inlineStr">
        <is>
          <t>Ramped deal, year one</t>
        </is>
      </c>
    </row>
    <row r="51">
      <c r="A51" s="39" t="inlineStr">
        <is>
          <t>2024-08-27</t>
        </is>
      </c>
      <c r="B51" s="18" t="inlineStr">
        <is>
          <t>EMEA</t>
        </is>
      </c>
      <c r="C51" s="18" t="inlineStr">
        <is>
          <t>Warehouse Connect</t>
        </is>
      </c>
      <c r="D51" s="18" t="inlineStr">
        <is>
          <t>Enterprise</t>
        </is>
      </c>
      <c r="E51" s="18" t="inlineStr">
        <is>
          <t>A. Okafor</t>
        </is>
      </c>
      <c r="F51" s="20" t="n">
        <v>35200</v>
      </c>
      <c r="G51" s="34" t="inlineStr">
        <is>
          <t>Renewal uplift 7%</t>
        </is>
      </c>
    </row>
    <row r="52">
      <c r="A52" s="39" t="inlineStr">
        <is>
          <t>2024-08-03</t>
        </is>
      </c>
      <c r="B52" s="18" t="inlineStr">
        <is>
          <t>AMER East</t>
        </is>
      </c>
      <c r="C52" s="18" t="inlineStr">
        <is>
          <t>Embedded Reports</t>
        </is>
      </c>
      <c r="D52" s="18" t="inlineStr">
        <is>
          <t>Enterprise</t>
        </is>
      </c>
      <c r="E52" s="18" t="inlineStr">
        <is>
          <t>A. Okafor</t>
        </is>
      </c>
      <c r="F52" s="20" t="n">
        <v>21100</v>
      </c>
      <c r="G52" s="34" t="inlineStr">
        <is>
          <t>Ramped deal, year one</t>
        </is>
      </c>
    </row>
    <row r="53">
      <c r="A53" s="39" t="inlineStr">
        <is>
          <t>2024-08-10</t>
        </is>
      </c>
      <c r="B53" s="18" t="inlineStr">
        <is>
          <t>EMEA</t>
        </is>
      </c>
      <c r="C53" s="18" t="inlineStr">
        <is>
          <t>Warehouse Connect</t>
        </is>
      </c>
      <c r="D53" s="18" t="inlineStr">
        <is>
          <t>SMB</t>
        </is>
      </c>
      <c r="E53" s="18" t="inlineStr">
        <is>
          <t>C. Marín</t>
        </is>
      </c>
      <c r="F53" s="20" t="n">
        <v>65200</v>
      </c>
      <c r="G53" s="34" t="inlineStr">
        <is>
          <t>Ramped deal, year one</t>
        </is>
      </c>
    </row>
    <row r="54">
      <c r="A54" s="39" t="inlineStr">
        <is>
          <t>2024-08-17</t>
        </is>
      </c>
      <c r="B54" s="18" t="inlineStr">
        <is>
          <t>AMER East</t>
        </is>
      </c>
      <c r="C54" s="18" t="inlineStr">
        <is>
          <t>Warehouse Connect</t>
        </is>
      </c>
      <c r="D54" s="18" t="inlineStr">
        <is>
          <t>SMB</t>
        </is>
      </c>
      <c r="E54" s="18" t="inlineStr">
        <is>
          <t>F. Duarte</t>
        </is>
      </c>
      <c r="F54" s="20" t="n">
        <v>203700</v>
      </c>
      <c r="G54" s="34" t="inlineStr">
        <is>
          <t>Multi-year prepay</t>
        </is>
      </c>
    </row>
    <row r="55">
      <c r="A55" s="39" t="inlineStr">
        <is>
          <t>2024-08-24</t>
        </is>
      </c>
      <c r="B55" s="18" t="inlineStr">
        <is>
          <t>LATAM</t>
        </is>
      </c>
      <c r="C55" s="18" t="inlineStr">
        <is>
          <t>Signal Core</t>
        </is>
      </c>
      <c r="D55" s="18" t="inlineStr">
        <is>
          <t>Enterprise</t>
        </is>
      </c>
      <c r="E55" s="18" t="inlineStr">
        <is>
          <t>G. Halloran</t>
        </is>
      </c>
      <c r="F55" s="20" t="n">
        <v>192600</v>
      </c>
      <c r="G55" s="34" t="inlineStr">
        <is>
          <t>Partner-sourced</t>
        </is>
      </c>
    </row>
    <row r="56">
      <c r="A56" s="39" t="inlineStr">
        <is>
          <t>2024-08-31</t>
        </is>
      </c>
      <c r="B56" s="18" t="inlineStr">
        <is>
          <t>AMER East</t>
        </is>
      </c>
      <c r="C56" s="18" t="inlineStr">
        <is>
          <t>Signal Pro</t>
        </is>
      </c>
      <c r="D56" s="18" t="inlineStr">
        <is>
          <t>Mid-market</t>
        </is>
      </c>
      <c r="E56" s="18" t="inlineStr">
        <is>
          <t>B. Lindqvist</t>
        </is>
      </c>
      <c r="F56" s="20" t="n">
        <v>84800</v>
      </c>
      <c r="G56" s="34" t="inlineStr">
        <is>
          <t>Competitive displacement</t>
        </is>
      </c>
    </row>
    <row r="57">
      <c r="A57" s="39" t="inlineStr">
        <is>
          <t>2024-08-07</t>
        </is>
      </c>
      <c r="B57" s="18" t="inlineStr">
        <is>
          <t>APAC</t>
        </is>
      </c>
      <c r="C57" s="18" t="inlineStr">
        <is>
          <t>Embedded Reports</t>
        </is>
      </c>
      <c r="D57" s="18" t="inlineStr">
        <is>
          <t>Mid-market</t>
        </is>
      </c>
      <c r="E57" s="18" t="inlineStr">
        <is>
          <t>D. Chatterjee</t>
        </is>
      </c>
      <c r="F57" s="20" t="n">
        <v>15600</v>
      </c>
      <c r="G57" s="34" t="inlineStr">
        <is>
          <t>Renewal uplift 7%</t>
        </is>
      </c>
    </row>
    <row r="58">
      <c r="A58" s="39" t="inlineStr">
        <is>
          <t>2024-08-14</t>
        </is>
      </c>
      <c r="B58" s="18" t="inlineStr">
        <is>
          <t>AMER West</t>
        </is>
      </c>
      <c r="C58" s="18" t="inlineStr">
        <is>
          <t>Warehouse Connect</t>
        </is>
      </c>
      <c r="D58" s="18" t="inlineStr">
        <is>
          <t>SMB</t>
        </is>
      </c>
      <c r="E58" s="18" t="inlineStr">
        <is>
          <t>K. Sørensen</t>
        </is>
      </c>
      <c r="F58" s="20" t="n">
        <v>70900</v>
      </c>
      <c r="G58" s="34" t="inlineStr">
        <is>
          <t>Renewal uplift 7%</t>
        </is>
      </c>
    </row>
    <row r="59">
      <c r="A59" s="39" t="inlineStr">
        <is>
          <t>2024-08-21</t>
        </is>
      </c>
      <c r="B59" s="18" t="inlineStr">
        <is>
          <t>LATAM</t>
        </is>
      </c>
      <c r="C59" s="18" t="inlineStr">
        <is>
          <t>Embedded Reports</t>
        </is>
      </c>
      <c r="D59" s="18" t="inlineStr">
        <is>
          <t>SMB</t>
        </is>
      </c>
      <c r="E59" s="18" t="inlineStr">
        <is>
          <t>G. Halloran</t>
        </is>
      </c>
      <c r="F59" s="20" t="n">
        <v>39600</v>
      </c>
      <c r="G59" s="34" t="inlineStr">
        <is>
          <t>Co-term with parent</t>
        </is>
      </c>
    </row>
    <row r="60">
      <c r="A60" s="39" t="inlineStr">
        <is>
          <t>2024-08-28</t>
        </is>
      </c>
      <c r="B60" s="18" t="inlineStr">
        <is>
          <t>EMEA</t>
        </is>
      </c>
      <c r="C60" s="18" t="inlineStr">
        <is>
          <t>Warehouse Connect</t>
        </is>
      </c>
      <c r="D60" s="18" t="inlineStr">
        <is>
          <t>SMB</t>
        </is>
      </c>
      <c r="E60" s="18" t="inlineStr">
        <is>
          <t>C. Marín</t>
        </is>
      </c>
      <c r="F60" s="20" t="n">
        <v>108000</v>
      </c>
      <c r="G60" s="34" t="inlineStr">
        <is>
          <t>Standard list price</t>
        </is>
      </c>
    </row>
    <row r="61">
      <c r="A61" s="39" t="inlineStr">
        <is>
          <t>2024-08-04</t>
        </is>
      </c>
      <c r="B61" s="18" t="inlineStr">
        <is>
          <t>AMER East</t>
        </is>
      </c>
      <c r="C61" s="18" t="inlineStr">
        <is>
          <t>Alerts add-on</t>
        </is>
      </c>
      <c r="D61" s="18" t="inlineStr">
        <is>
          <t>SMB</t>
        </is>
      </c>
      <c r="E61" s="18" t="inlineStr">
        <is>
          <t>F. Duarte</t>
        </is>
      </c>
      <c r="F61" s="20" t="n">
        <v>94800</v>
      </c>
      <c r="G61" s="34" t="inlineStr">
        <is>
          <t>Pilot converted</t>
        </is>
      </c>
    </row>
    <row r="62">
      <c r="A62" s="39" t="inlineStr">
        <is>
          <t>2024-08-11</t>
        </is>
      </c>
      <c r="B62" s="18" t="inlineStr">
        <is>
          <t>EMEA</t>
        </is>
      </c>
      <c r="C62" s="18" t="inlineStr">
        <is>
          <t>Warehouse Connect</t>
        </is>
      </c>
      <c r="D62" s="18" t="inlineStr">
        <is>
          <t>SMB</t>
        </is>
      </c>
      <c r="E62" s="18" t="inlineStr">
        <is>
          <t>J. Adeyemi</t>
        </is>
      </c>
      <c r="F62" s="20" t="n">
        <v>76300</v>
      </c>
      <c r="G62" s="34" t="inlineStr">
        <is>
          <t>Renewal uplift 7%</t>
        </is>
      </c>
    </row>
    <row r="63">
      <c r="A63" s="39" t="inlineStr">
        <is>
          <t>2024-08-18</t>
        </is>
      </c>
      <c r="B63" s="18" t="inlineStr">
        <is>
          <t>LATAM</t>
        </is>
      </c>
      <c r="C63" s="18" t="inlineStr">
        <is>
          <t>Signal Core</t>
        </is>
      </c>
      <c r="D63" s="18" t="inlineStr">
        <is>
          <t>Mid-market</t>
        </is>
      </c>
      <c r="E63" s="18" t="inlineStr">
        <is>
          <t>A. Okafor</t>
        </is>
      </c>
      <c r="F63" s="20" t="n">
        <v>80000</v>
      </c>
      <c r="G63" s="34" t="inlineStr">
        <is>
          <t>Co-term with parent</t>
        </is>
      </c>
    </row>
    <row r="64">
      <c r="A64" s="39" t="inlineStr">
        <is>
          <t>2024-08-25</t>
        </is>
      </c>
      <c r="B64" s="18" t="inlineStr">
        <is>
          <t>AMER West</t>
        </is>
      </c>
      <c r="C64" s="18" t="inlineStr">
        <is>
          <t>Signal Pro</t>
        </is>
      </c>
      <c r="D64" s="18" t="inlineStr">
        <is>
          <t>SMB</t>
        </is>
      </c>
      <c r="E64" s="18" t="inlineStr">
        <is>
          <t>J. Adeyemi</t>
        </is>
      </c>
      <c r="F64" s="20" t="n">
        <v>23100</v>
      </c>
      <c r="G64" s="34" t="inlineStr">
        <is>
          <t>Competitive displacement</t>
        </is>
      </c>
    </row>
    <row r="65">
      <c r="A65" s="39" t="inlineStr">
        <is>
          <t>2024-08-01</t>
        </is>
      </c>
      <c r="B65" s="18" t="inlineStr">
        <is>
          <t>LATAM</t>
        </is>
      </c>
      <c r="C65" s="18" t="inlineStr">
        <is>
          <t>Signal Pro</t>
        </is>
      </c>
      <c r="D65" s="18" t="inlineStr">
        <is>
          <t>SMB</t>
        </is>
      </c>
      <c r="E65" s="18" t="inlineStr">
        <is>
          <t>A. Okafor</t>
        </is>
      </c>
      <c r="F65" s="20" t="n">
        <v>29200</v>
      </c>
      <c r="G65" s="34" t="inlineStr">
        <is>
          <t>Standard list price</t>
        </is>
      </c>
    </row>
    <row r="66">
      <c r="A66" s="39" t="inlineStr">
        <is>
          <t>2024-08-08</t>
        </is>
      </c>
      <c r="B66" s="18" t="inlineStr">
        <is>
          <t>APAC</t>
        </is>
      </c>
      <c r="C66" s="18" t="inlineStr">
        <is>
          <t>Warehouse Connect</t>
        </is>
      </c>
      <c r="D66" s="18" t="inlineStr">
        <is>
          <t>Enterprise</t>
        </is>
      </c>
      <c r="E66" s="18" t="inlineStr">
        <is>
          <t>B. Lindqvist</t>
        </is>
      </c>
      <c r="F66" s="20" t="n">
        <v>50400</v>
      </c>
      <c r="G66" s="34" t="inlineStr">
        <is>
          <t>Competitive displacement</t>
        </is>
      </c>
    </row>
    <row r="67">
      <c r="A67" s="39" t="inlineStr">
        <is>
          <t>2024-08-15</t>
        </is>
      </c>
      <c r="B67" s="18" t="inlineStr">
        <is>
          <t>EMEA</t>
        </is>
      </c>
      <c r="C67" s="18" t="inlineStr">
        <is>
          <t>Signal Pro</t>
        </is>
      </c>
      <c r="D67" s="18" t="inlineStr">
        <is>
          <t>Enterprise</t>
        </is>
      </c>
      <c r="E67" s="18" t="inlineStr">
        <is>
          <t>F. Duarte</t>
        </is>
      </c>
      <c r="F67" s="20" t="n">
        <v>185400</v>
      </c>
      <c r="G67" s="34" t="inlineStr">
        <is>
          <t>Co-term with parent</t>
        </is>
      </c>
    </row>
    <row r="68">
      <c r="A68" s="39" t="inlineStr">
        <is>
          <t>2024-08-22</t>
        </is>
      </c>
      <c r="B68" s="18" t="inlineStr">
        <is>
          <t>AMER West</t>
        </is>
      </c>
      <c r="C68" s="18" t="inlineStr">
        <is>
          <t>Signal Core</t>
        </is>
      </c>
      <c r="D68" s="18" t="inlineStr">
        <is>
          <t>Enterprise</t>
        </is>
      </c>
      <c r="E68" s="18" t="inlineStr">
        <is>
          <t>C. Marín</t>
        </is>
      </c>
      <c r="F68" s="20" t="n">
        <v>65200</v>
      </c>
      <c r="G68" s="34" t="inlineStr">
        <is>
          <t>Pilot converted</t>
        </is>
      </c>
    </row>
    <row r="69">
      <c r="A69" s="39" t="inlineStr">
        <is>
          <t>2024-08-29</t>
        </is>
      </c>
      <c r="B69" s="18" t="inlineStr">
        <is>
          <t>EMEA</t>
        </is>
      </c>
      <c r="C69" s="18" t="inlineStr">
        <is>
          <t>Embedded Reports</t>
        </is>
      </c>
      <c r="D69" s="18" t="inlineStr">
        <is>
          <t>Enterprise</t>
        </is>
      </c>
      <c r="E69" s="18" t="inlineStr">
        <is>
          <t>E. Nakamura</t>
        </is>
      </c>
      <c r="F69" s="20" t="n">
        <v>47400</v>
      </c>
      <c r="G69" s="34" t="inlineStr">
        <is>
          <t>Co-term with parent</t>
        </is>
      </c>
    </row>
    <row r="70">
      <c r="A70" s="39" t="inlineStr">
        <is>
          <t>2024-08-05</t>
        </is>
      </c>
      <c r="B70" s="18" t="inlineStr">
        <is>
          <t>APAC</t>
        </is>
      </c>
      <c r="C70" s="18" t="inlineStr">
        <is>
          <t>Warehouse Connect</t>
        </is>
      </c>
      <c r="D70" s="18" t="inlineStr">
        <is>
          <t>SMB</t>
        </is>
      </c>
      <c r="E70" s="18" t="inlineStr">
        <is>
          <t>B. Lindqvist</t>
        </is>
      </c>
      <c r="F70" s="20" t="n">
        <v>48800</v>
      </c>
      <c r="G70" s="34" t="inlineStr">
        <is>
          <t>Co-term with parent</t>
        </is>
      </c>
    </row>
    <row r="71">
      <c r="A71" s="39" t="inlineStr">
        <is>
          <t>2024-08-12</t>
        </is>
      </c>
      <c r="B71" s="18" t="inlineStr">
        <is>
          <t>EMEA</t>
        </is>
      </c>
      <c r="C71" s="18" t="inlineStr">
        <is>
          <t>Signal Pro</t>
        </is>
      </c>
      <c r="D71" s="18" t="inlineStr">
        <is>
          <t>SMB</t>
        </is>
      </c>
      <c r="E71" s="18" t="inlineStr">
        <is>
          <t>F. Duarte</t>
        </is>
      </c>
      <c r="F71" s="20" t="n">
        <v>86800</v>
      </c>
      <c r="G71" s="34" t="inlineStr">
        <is>
          <t>Co-term with parent</t>
        </is>
      </c>
    </row>
    <row r="72">
      <c r="A72" s="39" t="inlineStr">
        <is>
          <t>2024-08-19</t>
        </is>
      </c>
      <c r="B72" s="18" t="inlineStr">
        <is>
          <t>LATAM</t>
        </is>
      </c>
      <c r="C72" s="18" t="inlineStr">
        <is>
          <t>Signal Core</t>
        </is>
      </c>
      <c r="D72" s="18" t="inlineStr">
        <is>
          <t>SMB</t>
        </is>
      </c>
      <c r="E72" s="18" t="inlineStr">
        <is>
          <t>F. Duarte</t>
        </is>
      </c>
      <c r="F72" s="20" t="n">
        <v>66700</v>
      </c>
      <c r="G72" s="34" t="inlineStr">
        <is>
          <t>Standard list price</t>
        </is>
      </c>
    </row>
    <row r="73">
      <c r="A73" s="39" t="inlineStr">
        <is>
          <t>2024-08-26</t>
        </is>
      </c>
      <c r="B73" s="18" t="inlineStr">
        <is>
          <t>AMER East</t>
        </is>
      </c>
      <c r="C73" s="18" t="inlineStr">
        <is>
          <t>Signal Pro</t>
        </is>
      </c>
      <c r="D73" s="18" t="inlineStr">
        <is>
          <t>Enterprise</t>
        </is>
      </c>
      <c r="E73" s="18" t="inlineStr">
        <is>
          <t>E. Nakamura</t>
        </is>
      </c>
      <c r="F73" s="20" t="n">
        <v>5300</v>
      </c>
      <c r="G73" s="34" t="inlineStr">
        <is>
          <t>Ramped deal, year one</t>
        </is>
      </c>
    </row>
    <row r="74">
      <c r="A74" s="39" t="inlineStr">
        <is>
          <t>2024-08-02</t>
        </is>
      </c>
      <c r="B74" s="18" t="inlineStr">
        <is>
          <t>AMER East</t>
        </is>
      </c>
      <c r="C74" s="18" t="inlineStr">
        <is>
          <t>Embedded Reports</t>
        </is>
      </c>
      <c r="D74" s="18" t="inlineStr">
        <is>
          <t>Mid-market</t>
        </is>
      </c>
      <c r="E74" s="18" t="inlineStr">
        <is>
          <t>J. Adeyemi</t>
        </is>
      </c>
      <c r="F74" s="20" t="n">
        <v>62000</v>
      </c>
      <c r="G74" s="34" t="inlineStr">
        <is>
          <t>Competitive displacement</t>
        </is>
      </c>
    </row>
    <row r="75">
      <c r="A75" s="39" t="inlineStr">
        <is>
          <t>2024-08-09</t>
        </is>
      </c>
      <c r="B75" s="18" t="inlineStr">
        <is>
          <t>LATAM</t>
        </is>
      </c>
      <c r="C75" s="18" t="inlineStr">
        <is>
          <t>Alerts add-on</t>
        </is>
      </c>
      <c r="D75" s="18" t="inlineStr">
        <is>
          <t>Enterprise</t>
        </is>
      </c>
      <c r="E75" s="18" t="inlineStr">
        <is>
          <t>G. Halloran</t>
        </is>
      </c>
      <c r="F75" s="20" t="n">
        <v>48700</v>
      </c>
      <c r="G75" s="34" t="inlineStr">
        <is>
          <t>Multi-year prepay</t>
        </is>
      </c>
    </row>
    <row r="76">
      <c r="A76" s="39" t="inlineStr">
        <is>
          <t>2024-08-16</t>
        </is>
      </c>
      <c r="B76" s="18" t="inlineStr">
        <is>
          <t>APAC</t>
        </is>
      </c>
      <c r="C76" s="18" t="inlineStr">
        <is>
          <t>Embedded Reports</t>
        </is>
      </c>
      <c r="D76" s="18" t="inlineStr">
        <is>
          <t>Enterprise</t>
        </is>
      </c>
      <c r="E76" s="18" t="inlineStr">
        <is>
          <t>G. Halloran</t>
        </is>
      </c>
      <c r="F76" s="20" t="n">
        <v>45200</v>
      </c>
      <c r="G76" s="34" t="inlineStr">
        <is>
          <t>Partner-sourced</t>
        </is>
      </c>
    </row>
    <row r="77">
      <c r="A77" s="39" t="inlineStr">
        <is>
          <t>2024-08-23</t>
        </is>
      </c>
      <c r="B77" s="18" t="inlineStr">
        <is>
          <t>APAC</t>
        </is>
      </c>
      <c r="C77" s="18" t="inlineStr">
        <is>
          <t>Warehouse Connect</t>
        </is>
      </c>
      <c r="D77" s="18" t="inlineStr">
        <is>
          <t>SMB</t>
        </is>
      </c>
      <c r="E77" s="18" t="inlineStr">
        <is>
          <t>D. Chatterjee</t>
        </is>
      </c>
      <c r="F77" s="20" t="n">
        <v>76600</v>
      </c>
      <c r="G77" s="34" t="inlineStr">
        <is>
          <t>Ramped deal, year one</t>
        </is>
      </c>
    </row>
    <row r="78">
      <c r="A78" s="39" t="inlineStr">
        <is>
          <t>2024-08-30</t>
        </is>
      </c>
      <c r="B78" s="18" t="inlineStr">
        <is>
          <t>AMER West</t>
        </is>
      </c>
      <c r="C78" s="18" t="inlineStr">
        <is>
          <t>Signal Pro</t>
        </is>
      </c>
      <c r="D78" s="18" t="inlineStr">
        <is>
          <t>Mid-market</t>
        </is>
      </c>
      <c r="E78" s="18" t="inlineStr">
        <is>
          <t>E. Nakamura</t>
        </is>
      </c>
      <c r="F78" s="20" t="n">
        <v>44800</v>
      </c>
      <c r="G78" s="34" t="inlineStr">
        <is>
          <t>Pilot converted</t>
        </is>
      </c>
    </row>
    <row r="79">
      <c r="A79" s="39" t="inlineStr">
        <is>
          <t>2024-08-06</t>
        </is>
      </c>
      <c r="B79" s="18" t="inlineStr">
        <is>
          <t>AMER East</t>
        </is>
      </c>
      <c r="C79" s="18" t="inlineStr">
        <is>
          <t>Signal Core</t>
        </is>
      </c>
      <c r="D79" s="18" t="inlineStr">
        <is>
          <t>SMB</t>
        </is>
      </c>
      <c r="E79" s="18" t="inlineStr">
        <is>
          <t>E. Nakamura</t>
        </is>
      </c>
      <c r="F79" s="20" t="n">
        <v>21200</v>
      </c>
      <c r="G79" s="34" t="inlineStr">
        <is>
          <t>Co-term with parent</t>
        </is>
      </c>
    </row>
    <row r="80">
      <c r="A80" s="39" t="inlineStr">
        <is>
          <t>2024-08-13</t>
        </is>
      </c>
      <c r="B80" s="18" t="inlineStr">
        <is>
          <t>LATAM</t>
        </is>
      </c>
      <c r="C80" s="18" t="inlineStr">
        <is>
          <t>Signal Pro</t>
        </is>
      </c>
      <c r="D80" s="18" t="inlineStr">
        <is>
          <t>Mid-market</t>
        </is>
      </c>
      <c r="E80" s="18" t="inlineStr">
        <is>
          <t>H. Vasquez</t>
        </is>
      </c>
      <c r="F80" s="20" t="n">
        <v>110400</v>
      </c>
      <c r="G80" s="34" t="inlineStr">
        <is>
          <t>Co-term with parent</t>
        </is>
      </c>
    </row>
    <row r="81">
      <c r="A81" s="39" t="inlineStr">
        <is>
          <t>2024-08-20</t>
        </is>
      </c>
      <c r="B81" s="18" t="inlineStr">
        <is>
          <t>APAC</t>
        </is>
      </c>
      <c r="C81" s="18" t="inlineStr">
        <is>
          <t>Warehouse Connect</t>
        </is>
      </c>
      <c r="D81" s="18" t="inlineStr">
        <is>
          <t>SMB</t>
        </is>
      </c>
      <c r="E81" s="18" t="inlineStr">
        <is>
          <t>F. Duarte</t>
        </is>
      </c>
      <c r="F81" s="20" t="n">
        <v>10600</v>
      </c>
      <c r="G81" s="34" t="inlineStr">
        <is>
          <t>Pilot converted</t>
        </is>
      </c>
    </row>
    <row r="82">
      <c r="A82" s="39" t="inlineStr">
        <is>
          <t>2024-08-27</t>
        </is>
      </c>
      <c r="B82" s="18" t="inlineStr">
        <is>
          <t>AMER East</t>
        </is>
      </c>
      <c r="C82" s="18" t="inlineStr">
        <is>
          <t>Alerts add-on</t>
        </is>
      </c>
      <c r="D82" s="18" t="inlineStr">
        <is>
          <t>Enterprise</t>
        </is>
      </c>
      <c r="E82" s="18" t="inlineStr">
        <is>
          <t>J. Adeyemi</t>
        </is>
      </c>
      <c r="F82" s="20" t="n">
        <v>99800</v>
      </c>
      <c r="G82" s="34" t="inlineStr">
        <is>
          <t>Ramped deal, year one</t>
        </is>
      </c>
    </row>
    <row r="83">
      <c r="A83" s="39" t="inlineStr">
        <is>
          <t>2024-08-03</t>
        </is>
      </c>
      <c r="B83" s="18" t="inlineStr">
        <is>
          <t>AMER East</t>
        </is>
      </c>
      <c r="C83" s="18" t="inlineStr">
        <is>
          <t>Embedded Reports</t>
        </is>
      </c>
      <c r="D83" s="18" t="inlineStr">
        <is>
          <t>SMB</t>
        </is>
      </c>
      <c r="E83" s="18" t="inlineStr">
        <is>
          <t>B. Lindqvist</t>
        </is>
      </c>
      <c r="F83" s="20" t="n">
        <v>14200</v>
      </c>
      <c r="G83" s="34" t="inlineStr">
        <is>
          <t>Pilot converted</t>
        </is>
      </c>
    </row>
    <row r="84">
      <c r="A84" s="39" t="inlineStr">
        <is>
          <t>2024-08-10</t>
        </is>
      </c>
      <c r="B84" s="18" t="inlineStr">
        <is>
          <t>AMER East</t>
        </is>
      </c>
      <c r="C84" s="18" t="inlineStr">
        <is>
          <t>Signal Core</t>
        </is>
      </c>
      <c r="D84" s="18" t="inlineStr">
        <is>
          <t>Mid-market</t>
        </is>
      </c>
      <c r="E84" s="18" t="inlineStr">
        <is>
          <t>J. Adeyemi</t>
        </is>
      </c>
      <c r="F84" s="20" t="n">
        <v>44200</v>
      </c>
      <c r="G84" s="34" t="inlineStr">
        <is>
          <t>Multi-year prepay</t>
        </is>
      </c>
    </row>
    <row r="85">
      <c r="A85" s="39" t="inlineStr">
        <is>
          <t>2024-08-17</t>
        </is>
      </c>
      <c r="B85" s="18" t="inlineStr">
        <is>
          <t>LATAM</t>
        </is>
      </c>
      <c r="C85" s="18" t="inlineStr">
        <is>
          <t>Signal Core</t>
        </is>
      </c>
      <c r="D85" s="18" t="inlineStr">
        <is>
          <t>Enterprise</t>
        </is>
      </c>
      <c r="E85" s="18" t="inlineStr">
        <is>
          <t>A. Okafor</t>
        </is>
      </c>
      <c r="F85" s="20" t="n">
        <v>92700</v>
      </c>
      <c r="G85" s="34" t="inlineStr">
        <is>
          <t>Standard list price</t>
        </is>
      </c>
    </row>
    <row r="86">
      <c r="A86" s="39" t="inlineStr">
        <is>
          <t>2024-08-24</t>
        </is>
      </c>
      <c r="B86" s="18" t="inlineStr">
        <is>
          <t>EMEA</t>
        </is>
      </c>
      <c r="C86" s="18" t="inlineStr">
        <is>
          <t>Signal Core</t>
        </is>
      </c>
      <c r="D86" s="18" t="inlineStr">
        <is>
          <t>Enterprise</t>
        </is>
      </c>
      <c r="E86" s="18" t="inlineStr">
        <is>
          <t>K. Sørensen</t>
        </is>
      </c>
      <c r="F86" s="20" t="n">
        <v>44600</v>
      </c>
      <c r="G86" s="34" t="inlineStr">
        <is>
          <t>Co-term with parent</t>
        </is>
      </c>
    </row>
    <row r="87">
      <c r="A87" s="39" t="inlineStr">
        <is>
          <t>2024-08-31</t>
        </is>
      </c>
      <c r="B87" s="18" t="inlineStr">
        <is>
          <t>AMER East</t>
        </is>
      </c>
      <c r="C87" s="18" t="inlineStr">
        <is>
          <t>Signal Pro</t>
        </is>
      </c>
      <c r="D87" s="18" t="inlineStr">
        <is>
          <t>Mid-market</t>
        </is>
      </c>
      <c r="E87" s="18" t="inlineStr">
        <is>
          <t>C. Marín</t>
        </is>
      </c>
      <c r="F87" s="20" t="n">
        <v>177600</v>
      </c>
      <c r="G87" s="34" t="inlineStr">
        <is>
          <t>Pilot converted</t>
        </is>
      </c>
    </row>
    <row r="88">
      <c r="A88" s="39" t="inlineStr">
        <is>
          <t>2024-08-07</t>
        </is>
      </c>
      <c r="B88" s="18" t="inlineStr">
        <is>
          <t>LATAM</t>
        </is>
      </c>
      <c r="C88" s="18" t="inlineStr">
        <is>
          <t>Signal Pro</t>
        </is>
      </c>
      <c r="D88" s="18" t="inlineStr">
        <is>
          <t>Mid-market</t>
        </is>
      </c>
      <c r="E88" s="18" t="inlineStr">
        <is>
          <t>C. Marín</t>
        </is>
      </c>
      <c r="F88" s="20" t="n">
        <v>59900</v>
      </c>
      <c r="G88" s="34" t="inlineStr">
        <is>
          <t>Co-term with parent</t>
        </is>
      </c>
    </row>
    <row r="89">
      <c r="A89" s="39" t="inlineStr">
        <is>
          <t>2024-08-14</t>
        </is>
      </c>
      <c r="B89" s="18" t="inlineStr">
        <is>
          <t>AMER East</t>
        </is>
      </c>
      <c r="C89" s="18" t="inlineStr">
        <is>
          <t>Warehouse Connect</t>
        </is>
      </c>
      <c r="D89" s="18" t="inlineStr">
        <is>
          <t>Enterprise</t>
        </is>
      </c>
      <c r="E89" s="18" t="inlineStr">
        <is>
          <t>J. Adeyemi</t>
        </is>
      </c>
      <c r="F89" s="20" t="n">
        <v>40400</v>
      </c>
      <c r="G89" s="34" t="inlineStr">
        <is>
          <t>Co-term with parent</t>
        </is>
      </c>
    </row>
    <row r="90">
      <c r="A90" s="39" t="inlineStr">
        <is>
          <t>2024-08-21</t>
        </is>
      </c>
      <c r="B90" s="18" t="inlineStr">
        <is>
          <t>AMER East</t>
        </is>
      </c>
      <c r="C90" s="18" t="inlineStr">
        <is>
          <t>Warehouse Connect</t>
        </is>
      </c>
      <c r="D90" s="18" t="inlineStr">
        <is>
          <t>SMB</t>
        </is>
      </c>
      <c r="E90" s="18" t="inlineStr">
        <is>
          <t>G. Halloran</t>
        </is>
      </c>
      <c r="F90" s="20" t="n">
        <v>47100</v>
      </c>
      <c r="G90" s="34" t="inlineStr">
        <is>
          <t>Ramped deal, year one</t>
        </is>
      </c>
    </row>
    <row r="91">
      <c r="A91" s="39" t="inlineStr">
        <is>
          <t>2024-08-28</t>
        </is>
      </c>
      <c r="B91" s="18" t="inlineStr">
        <is>
          <t>APAC</t>
        </is>
      </c>
      <c r="C91" s="18" t="inlineStr">
        <is>
          <t>Signal Pro</t>
        </is>
      </c>
      <c r="D91" s="18" t="inlineStr">
        <is>
          <t>Enterprise</t>
        </is>
      </c>
      <c r="E91" s="18" t="inlineStr">
        <is>
          <t>J. Adeyemi</t>
        </is>
      </c>
      <c r="F91" s="20" t="n">
        <v>36800</v>
      </c>
      <c r="G91" s="34" t="inlineStr">
        <is>
          <t>Pilot converted</t>
        </is>
      </c>
    </row>
    <row r="92">
      <c r="A92" s="39" t="inlineStr">
        <is>
          <t>2024-08-04</t>
        </is>
      </c>
      <c r="B92" s="18" t="inlineStr">
        <is>
          <t>AMER East</t>
        </is>
      </c>
      <c r="C92" s="18" t="inlineStr">
        <is>
          <t>Embedded Reports</t>
        </is>
      </c>
      <c r="D92" s="18" t="inlineStr">
        <is>
          <t>SMB</t>
        </is>
      </c>
      <c r="E92" s="18" t="inlineStr">
        <is>
          <t>B. Lindqvist</t>
        </is>
      </c>
      <c r="F92" s="20" t="n">
        <v>35200</v>
      </c>
      <c r="G92" s="34" t="inlineStr">
        <is>
          <t>Competitive displacement</t>
        </is>
      </c>
    </row>
    <row r="93">
      <c r="A93" s="39" t="inlineStr">
        <is>
          <t>2024-08-11</t>
        </is>
      </c>
      <c r="B93" s="18" t="inlineStr">
        <is>
          <t>AMER East</t>
        </is>
      </c>
      <c r="C93" s="18" t="inlineStr">
        <is>
          <t>Signal Pro</t>
        </is>
      </c>
      <c r="D93" s="18" t="inlineStr">
        <is>
          <t>Mid-market</t>
        </is>
      </c>
      <c r="E93" s="18" t="inlineStr">
        <is>
          <t>D. Chatterjee</t>
        </is>
      </c>
      <c r="F93" s="20" t="n">
        <v>48900</v>
      </c>
      <c r="G93" s="34" t="inlineStr">
        <is>
          <t>Multi-year prepay</t>
        </is>
      </c>
    </row>
    <row r="94">
      <c r="A94" s="39" t="inlineStr">
        <is>
          <t>2024-08-18</t>
        </is>
      </c>
      <c r="B94" s="18" t="inlineStr">
        <is>
          <t>AMER West</t>
        </is>
      </c>
      <c r="C94" s="18" t="inlineStr">
        <is>
          <t>Signal Core</t>
        </is>
      </c>
      <c r="D94" s="18" t="inlineStr">
        <is>
          <t>Mid-market</t>
        </is>
      </c>
      <c r="E94" s="18" t="inlineStr">
        <is>
          <t>F. Duarte</t>
        </is>
      </c>
      <c r="F94" s="20" t="n">
        <v>28100</v>
      </c>
      <c r="G94" s="34" t="inlineStr">
        <is>
          <t>Co-term with parent</t>
        </is>
      </c>
    </row>
    <row r="95">
      <c r="A95" s="39" t="inlineStr">
        <is>
          <t>2024-08-25</t>
        </is>
      </c>
      <c r="B95" s="18" t="inlineStr">
        <is>
          <t>APAC</t>
        </is>
      </c>
      <c r="C95" s="18" t="inlineStr">
        <is>
          <t>Signal Core</t>
        </is>
      </c>
      <c r="D95" s="18" t="inlineStr">
        <is>
          <t>SMB</t>
        </is>
      </c>
      <c r="E95" s="18" t="inlineStr">
        <is>
          <t>J. Adeyemi</t>
        </is>
      </c>
      <c r="F95" s="20" t="n">
        <v>49400</v>
      </c>
      <c r="G95" s="34" t="inlineStr">
        <is>
          <t>Ramped deal, year one</t>
        </is>
      </c>
    </row>
    <row r="96">
      <c r="A96" s="39" t="inlineStr">
        <is>
          <t>2024-08-01</t>
        </is>
      </c>
      <c r="B96" s="18" t="inlineStr">
        <is>
          <t>AMER East</t>
        </is>
      </c>
      <c r="C96" s="18" t="inlineStr">
        <is>
          <t>Signal Core</t>
        </is>
      </c>
      <c r="D96" s="18" t="inlineStr">
        <is>
          <t>Enterprise</t>
        </is>
      </c>
      <c r="E96" s="18" t="inlineStr">
        <is>
          <t>B. Lindqvist</t>
        </is>
      </c>
      <c r="F96" s="20" t="n">
        <v>13600</v>
      </c>
      <c r="G96" s="34" t="inlineStr">
        <is>
          <t>Ramped deal, year one</t>
        </is>
      </c>
    </row>
    <row r="97">
      <c r="A97" s="39" t="inlineStr">
        <is>
          <t>2024-08-08</t>
        </is>
      </c>
      <c r="B97" s="18" t="inlineStr">
        <is>
          <t>LATAM</t>
        </is>
      </c>
      <c r="C97" s="18" t="inlineStr">
        <is>
          <t>Signal Pro</t>
        </is>
      </c>
      <c r="D97" s="18" t="inlineStr">
        <is>
          <t>Enterprise</t>
        </is>
      </c>
      <c r="E97" s="18" t="inlineStr">
        <is>
          <t>G. Halloran</t>
        </is>
      </c>
      <c r="F97" s="20" t="n">
        <v>216000</v>
      </c>
      <c r="G97" s="34" t="inlineStr">
        <is>
          <t>Renewal uplift 7%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2024-09-28</t>
        </is>
      </c>
      <c r="B2" s="18" t="inlineStr">
        <is>
          <t>LATAM</t>
        </is>
      </c>
      <c r="C2" s="18" t="inlineStr">
        <is>
          <t>Alerts add-on</t>
        </is>
      </c>
      <c r="D2" s="18" t="inlineStr">
        <is>
          <t>SMB</t>
        </is>
      </c>
      <c r="E2" s="18" t="inlineStr">
        <is>
          <t>H. Vasquez</t>
        </is>
      </c>
      <c r="F2" s="20" t="n">
        <v>39900</v>
      </c>
      <c r="G2" s="34" t="inlineStr">
        <is>
          <t>Rebate carried from legacy 10% promo</t>
        </is>
      </c>
    </row>
    <row r="3">
      <c r="A3" s="39" t="inlineStr">
        <is>
          <t>2024-09-05</t>
        </is>
      </c>
      <c r="B3" s="18" t="inlineStr">
        <is>
          <t>APAC</t>
        </is>
      </c>
      <c r="C3" s="18" t="inlineStr">
        <is>
          <t>Warehouse Connect</t>
        </is>
      </c>
      <c r="D3" s="18" t="inlineStr">
        <is>
          <t>SMB</t>
        </is>
      </c>
      <c r="E3" s="18" t="inlineStr">
        <is>
          <t>K. Sørensen</t>
        </is>
      </c>
      <c r="F3" s="20" t="n">
        <v>38000</v>
      </c>
      <c r="G3" s="34" t="inlineStr">
        <is>
          <t>Multi-year prepay</t>
        </is>
      </c>
    </row>
    <row r="4">
      <c r="A4" s="39" t="inlineStr">
        <is>
          <t>2024-09-12</t>
        </is>
      </c>
      <c r="B4" s="18" t="inlineStr">
        <is>
          <t>EMEA</t>
        </is>
      </c>
      <c r="C4" s="18" t="inlineStr">
        <is>
          <t>Signal Core</t>
        </is>
      </c>
      <c r="D4" s="18" t="inlineStr">
        <is>
          <t>Mid-market</t>
        </is>
      </c>
      <c r="E4" s="18" t="inlineStr">
        <is>
          <t>G. Halloran</t>
        </is>
      </c>
      <c r="F4" s="20" t="n">
        <v>10200</v>
      </c>
      <c r="G4" s="34" t="inlineStr">
        <is>
          <t>Co-term with parent</t>
        </is>
      </c>
    </row>
    <row r="5">
      <c r="A5" s="39" t="inlineStr">
        <is>
          <t>2024-09-19</t>
        </is>
      </c>
      <c r="B5" s="18" t="inlineStr">
        <is>
          <t>APAC</t>
        </is>
      </c>
      <c r="C5" s="18" t="inlineStr">
        <is>
          <t>Signal Core</t>
        </is>
      </c>
      <c r="D5" s="18" t="inlineStr">
        <is>
          <t>SMB</t>
        </is>
      </c>
      <c r="E5" s="18" t="inlineStr">
        <is>
          <t>K. Sørensen</t>
        </is>
      </c>
      <c r="F5" s="20" t="n">
        <v>108800</v>
      </c>
      <c r="G5" s="34" t="inlineStr">
        <is>
          <t>Ramped deal, year one</t>
        </is>
      </c>
    </row>
    <row r="6">
      <c r="A6" s="39" t="inlineStr">
        <is>
          <t>2024-09-26</t>
        </is>
      </c>
      <c r="B6" s="18" t="inlineStr">
        <is>
          <t>EMEA</t>
        </is>
      </c>
      <c r="C6" s="18" t="inlineStr">
        <is>
          <t>Warehouse Connect</t>
        </is>
      </c>
      <c r="D6" s="18" t="inlineStr">
        <is>
          <t>SMB</t>
        </is>
      </c>
      <c r="E6" s="18" t="inlineStr">
        <is>
          <t>J. Adeyemi</t>
        </is>
      </c>
      <c r="F6" s="20" t="n">
        <v>142400</v>
      </c>
      <c r="G6" s="34" t="inlineStr">
        <is>
          <t>Ramped deal, year one</t>
        </is>
      </c>
    </row>
    <row r="7">
      <c r="A7" s="39" t="inlineStr">
        <is>
          <t>2024-09-03</t>
        </is>
      </c>
      <c r="B7" s="18" t="inlineStr">
        <is>
          <t>EMEA</t>
        </is>
      </c>
      <c r="C7" s="18" t="inlineStr">
        <is>
          <t>Signal Core</t>
        </is>
      </c>
      <c r="D7" s="18" t="inlineStr">
        <is>
          <t>SMB</t>
        </is>
      </c>
      <c r="E7" s="18" t="inlineStr">
        <is>
          <t>D. Chatterjee</t>
        </is>
      </c>
      <c r="F7" s="20" t="n">
        <v>71000</v>
      </c>
      <c r="G7" s="34" t="inlineStr">
        <is>
          <t>Co-term with parent</t>
        </is>
      </c>
    </row>
    <row r="8">
      <c r="A8" s="39" t="inlineStr">
        <is>
          <t>2024-09-10</t>
        </is>
      </c>
      <c r="B8" s="18" t="inlineStr">
        <is>
          <t>APAC</t>
        </is>
      </c>
      <c r="C8" s="18" t="inlineStr">
        <is>
          <t>Signal Core</t>
        </is>
      </c>
      <c r="D8" s="18" t="inlineStr">
        <is>
          <t>SMB</t>
        </is>
      </c>
      <c r="E8" s="18" t="inlineStr">
        <is>
          <t>B. Lindqvist</t>
        </is>
      </c>
      <c r="F8" s="20" t="n">
        <v>142200</v>
      </c>
      <c r="G8" s="34" t="inlineStr">
        <is>
          <t>Co-term with parent</t>
        </is>
      </c>
    </row>
    <row r="9">
      <c r="A9" s="39" t="inlineStr">
        <is>
          <t>2024-09-17</t>
        </is>
      </c>
      <c r="B9" s="18" t="inlineStr">
        <is>
          <t>EMEA</t>
        </is>
      </c>
      <c r="C9" s="18" t="inlineStr">
        <is>
          <t>Embedded Reports</t>
        </is>
      </c>
      <c r="D9" s="18" t="inlineStr">
        <is>
          <t>Enterprise</t>
        </is>
      </c>
      <c r="E9" s="18" t="inlineStr">
        <is>
          <t>B. Lindqvist</t>
        </is>
      </c>
      <c r="F9" s="20" t="n">
        <v>5900</v>
      </c>
      <c r="G9" s="34" t="inlineStr">
        <is>
          <t>Ramped deal, year one</t>
        </is>
      </c>
    </row>
    <row r="10">
      <c r="A10" s="39" t="inlineStr">
        <is>
          <t>2024-09-24</t>
        </is>
      </c>
      <c r="B10" s="18" t="inlineStr">
        <is>
          <t>EMEA</t>
        </is>
      </c>
      <c r="C10" s="18" t="inlineStr">
        <is>
          <t>Alerts add-on</t>
        </is>
      </c>
      <c r="D10" s="18" t="inlineStr">
        <is>
          <t>Mid-market</t>
        </is>
      </c>
      <c r="E10" s="18" t="inlineStr">
        <is>
          <t>C. Marín</t>
        </is>
      </c>
      <c r="F10" s="20" t="n">
        <v>16000</v>
      </c>
      <c r="G10" s="34" t="inlineStr">
        <is>
          <t>Standard list price</t>
        </is>
      </c>
    </row>
    <row r="11">
      <c r="A11" s="39" t="inlineStr">
        <is>
          <t>2024-09-01</t>
        </is>
      </c>
      <c r="B11" s="18" t="inlineStr">
        <is>
          <t>AMER West</t>
        </is>
      </c>
      <c r="C11" s="18" t="inlineStr">
        <is>
          <t>Alerts add-on</t>
        </is>
      </c>
      <c r="D11" s="18" t="inlineStr">
        <is>
          <t>Mid-market</t>
        </is>
      </c>
      <c r="E11" s="18" t="inlineStr">
        <is>
          <t>C. Marín</t>
        </is>
      </c>
      <c r="F11" s="20" t="n">
        <v>12600</v>
      </c>
      <c r="G11" s="34" t="inlineStr">
        <is>
          <t>Multi-year prepay</t>
        </is>
      </c>
    </row>
    <row r="12">
      <c r="A12" s="39" t="inlineStr">
        <is>
          <t>2024-09-08</t>
        </is>
      </c>
      <c r="B12" s="18" t="inlineStr">
        <is>
          <t>LATAM</t>
        </is>
      </c>
      <c r="C12" s="18" t="inlineStr">
        <is>
          <t>Signal Core</t>
        </is>
      </c>
      <c r="D12" s="18" t="inlineStr">
        <is>
          <t>Enterprise</t>
        </is>
      </c>
      <c r="E12" s="18" t="inlineStr">
        <is>
          <t>D. Chatterjee</t>
        </is>
      </c>
      <c r="F12" s="20" t="n">
        <v>32100</v>
      </c>
      <c r="G12" s="34" t="inlineStr">
        <is>
          <t>Ramped deal, year one</t>
        </is>
      </c>
    </row>
    <row r="13">
      <c r="A13" s="39" t="inlineStr">
        <is>
          <t>2024-09-15</t>
        </is>
      </c>
      <c r="B13" s="18" t="inlineStr">
        <is>
          <t>AMER West</t>
        </is>
      </c>
      <c r="C13" s="18" t="inlineStr">
        <is>
          <t>Warehouse Connect</t>
        </is>
      </c>
      <c r="D13" s="18" t="inlineStr">
        <is>
          <t>SMB</t>
        </is>
      </c>
      <c r="E13" s="18" t="inlineStr">
        <is>
          <t>D. Chatterjee</t>
        </is>
      </c>
      <c r="F13" s="20" t="n">
        <v>24900</v>
      </c>
      <c r="G13" s="34" t="inlineStr">
        <is>
          <t>Pilot converted</t>
        </is>
      </c>
    </row>
    <row r="14">
      <c r="A14" s="39" t="inlineStr">
        <is>
          <t>2024-09-22</t>
        </is>
      </c>
      <c r="B14" s="18" t="inlineStr">
        <is>
          <t>AMER East</t>
        </is>
      </c>
      <c r="C14" s="18" t="inlineStr">
        <is>
          <t>Signal Pro</t>
        </is>
      </c>
      <c r="D14" s="18" t="inlineStr">
        <is>
          <t>SMB</t>
        </is>
      </c>
      <c r="E14" s="18" t="inlineStr">
        <is>
          <t>B. Lindqvist</t>
        </is>
      </c>
      <c r="F14" s="20" t="n">
        <v>58000</v>
      </c>
      <c r="G14" s="34" t="inlineStr">
        <is>
          <t>Standard list price</t>
        </is>
      </c>
    </row>
    <row r="15">
      <c r="A15" s="39" t="inlineStr">
        <is>
          <t>2024-09-29</t>
        </is>
      </c>
      <c r="B15" s="18" t="inlineStr">
        <is>
          <t>APAC</t>
        </is>
      </c>
      <c r="C15" s="18" t="inlineStr">
        <is>
          <t>Warehouse Connect</t>
        </is>
      </c>
      <c r="D15" s="18" t="inlineStr">
        <is>
          <t>Mid-market</t>
        </is>
      </c>
      <c r="E15" s="18" t="inlineStr">
        <is>
          <t>D. Chatterjee</t>
        </is>
      </c>
      <c r="F15" s="20" t="n">
        <v>24200</v>
      </c>
      <c r="G15" s="34" t="inlineStr">
        <is>
          <t>Competitive displacement</t>
        </is>
      </c>
    </row>
    <row r="16">
      <c r="A16" s="39" t="inlineStr">
        <is>
          <t>2024-09-06</t>
        </is>
      </c>
      <c r="B16" s="18" t="inlineStr">
        <is>
          <t>AMER East</t>
        </is>
      </c>
      <c r="C16" s="18" t="inlineStr">
        <is>
          <t>Alerts add-on</t>
        </is>
      </c>
      <c r="D16" s="18" t="inlineStr">
        <is>
          <t>Enterprise</t>
        </is>
      </c>
      <c r="E16" s="18" t="inlineStr">
        <is>
          <t>C. Marín</t>
        </is>
      </c>
      <c r="F16" s="20" t="n">
        <v>57700</v>
      </c>
      <c r="G16" s="34" t="inlineStr">
        <is>
          <t>Competitive displacement</t>
        </is>
      </c>
    </row>
    <row r="17">
      <c r="A17" s="39" t="inlineStr">
        <is>
          <t>2024-09-13</t>
        </is>
      </c>
      <c r="B17" s="18" t="inlineStr">
        <is>
          <t>APAC</t>
        </is>
      </c>
      <c r="C17" s="18" t="inlineStr">
        <is>
          <t>Alerts add-on</t>
        </is>
      </c>
      <c r="D17" s="18" t="inlineStr">
        <is>
          <t>SMB</t>
        </is>
      </c>
      <c r="E17" s="18" t="inlineStr">
        <is>
          <t>D. Chatterjee</t>
        </is>
      </c>
      <c r="F17" s="20" t="n">
        <v>16000</v>
      </c>
      <c r="G17" s="34" t="inlineStr">
        <is>
          <t>Standard list price</t>
        </is>
      </c>
    </row>
    <row r="18">
      <c r="A18" s="39" t="inlineStr">
        <is>
          <t>2024-09-20</t>
        </is>
      </c>
      <c r="B18" s="18" t="inlineStr">
        <is>
          <t>AMER West</t>
        </is>
      </c>
      <c r="C18" s="18" t="inlineStr">
        <is>
          <t>Embedded Reports</t>
        </is>
      </c>
      <c r="D18" s="18" t="inlineStr">
        <is>
          <t>Mid-market</t>
        </is>
      </c>
      <c r="E18" s="18" t="inlineStr">
        <is>
          <t>E. Nakamura</t>
        </is>
      </c>
      <c r="F18" s="20" t="n">
        <v>19800</v>
      </c>
      <c r="G18" s="34" t="inlineStr">
        <is>
          <t>Pilot converted</t>
        </is>
      </c>
    </row>
    <row r="19">
      <c r="A19" s="39" t="inlineStr">
        <is>
          <t>2024-09-27</t>
        </is>
      </c>
      <c r="B19" s="18" t="inlineStr">
        <is>
          <t>APAC</t>
        </is>
      </c>
      <c r="C19" s="18" t="inlineStr">
        <is>
          <t>Alerts add-on</t>
        </is>
      </c>
      <c r="D19" s="18" t="inlineStr">
        <is>
          <t>SMB</t>
        </is>
      </c>
      <c r="E19" s="18" t="inlineStr">
        <is>
          <t>E. Nakamura</t>
        </is>
      </c>
      <c r="F19" s="20" t="n">
        <v>50900</v>
      </c>
      <c r="G19" s="34" t="inlineStr">
        <is>
          <t>Standard list price</t>
        </is>
      </c>
    </row>
    <row r="20">
      <c r="A20" s="39" t="inlineStr">
        <is>
          <t>2024-09-04</t>
        </is>
      </c>
      <c r="B20" s="18" t="inlineStr">
        <is>
          <t>AMER East</t>
        </is>
      </c>
      <c r="C20" s="18" t="inlineStr">
        <is>
          <t>Warehouse Connect</t>
        </is>
      </c>
      <c r="D20" s="18" t="inlineStr">
        <is>
          <t>Mid-market</t>
        </is>
      </c>
      <c r="E20" s="18" t="inlineStr">
        <is>
          <t>E. Nakamura</t>
        </is>
      </c>
      <c r="F20" s="20" t="n">
        <v>66800</v>
      </c>
      <c r="G20" s="34" t="inlineStr">
        <is>
          <t>Multi-year prepay</t>
        </is>
      </c>
    </row>
    <row r="21">
      <c r="A21" s="39" t="inlineStr">
        <is>
          <t>2024-09-11</t>
        </is>
      </c>
      <c r="B21" s="18" t="inlineStr">
        <is>
          <t>APAC</t>
        </is>
      </c>
      <c r="C21" s="18" t="inlineStr">
        <is>
          <t>Warehouse Connect</t>
        </is>
      </c>
      <c r="D21" s="18" t="inlineStr">
        <is>
          <t>Mid-market</t>
        </is>
      </c>
      <c r="E21" s="18" t="inlineStr">
        <is>
          <t>H. Vasquez</t>
        </is>
      </c>
      <c r="F21" s="20" t="n">
        <v>38400</v>
      </c>
      <c r="G21" s="34" t="inlineStr">
        <is>
          <t>Competitive displacement</t>
        </is>
      </c>
    </row>
    <row r="22">
      <c r="A22" s="39" t="inlineStr">
        <is>
          <t>2024-09-18</t>
        </is>
      </c>
      <c r="B22" s="18" t="inlineStr">
        <is>
          <t>APAC</t>
        </is>
      </c>
      <c r="C22" s="18" t="inlineStr">
        <is>
          <t>Alerts add-on</t>
        </is>
      </c>
      <c r="D22" s="18" t="inlineStr">
        <is>
          <t>Enterprise</t>
        </is>
      </c>
      <c r="E22" s="18" t="inlineStr">
        <is>
          <t>B. Lindqvist</t>
        </is>
      </c>
      <c r="F22" s="20" t="n">
        <v>48700</v>
      </c>
      <c r="G22" s="34" t="inlineStr">
        <is>
          <t>Partner-sourced</t>
        </is>
      </c>
    </row>
    <row r="23">
      <c r="A23" s="39" t="inlineStr">
        <is>
          <t>2024-09-25</t>
        </is>
      </c>
      <c r="B23" s="18" t="inlineStr">
        <is>
          <t>EMEA</t>
        </is>
      </c>
      <c r="C23" s="18" t="inlineStr">
        <is>
          <t>Signal Pro</t>
        </is>
      </c>
      <c r="D23" s="18" t="inlineStr">
        <is>
          <t>SMB</t>
        </is>
      </c>
      <c r="E23" s="18" t="inlineStr">
        <is>
          <t>F. Duarte</t>
        </is>
      </c>
      <c r="F23" s="20" t="n">
        <v>22000</v>
      </c>
      <c r="G23" s="34" t="inlineStr">
        <is>
          <t>Competitive displacement</t>
        </is>
      </c>
    </row>
    <row r="24">
      <c r="A24" s="39" t="inlineStr">
        <is>
          <t>2024-09-02</t>
        </is>
      </c>
      <c r="B24" s="18" t="inlineStr">
        <is>
          <t>EMEA</t>
        </is>
      </c>
      <c r="C24" s="18" t="inlineStr">
        <is>
          <t>Signal Pro</t>
        </is>
      </c>
      <c r="D24" s="18" t="inlineStr">
        <is>
          <t>Mid-market</t>
        </is>
      </c>
      <c r="E24" s="18" t="inlineStr">
        <is>
          <t>J. Adeyemi</t>
        </is>
      </c>
      <c r="F24" s="20" t="n">
        <v>30800</v>
      </c>
      <c r="G24" s="34" t="inlineStr">
        <is>
          <t>Pilot converted</t>
        </is>
      </c>
    </row>
    <row r="25">
      <c r="A25" s="39" t="inlineStr">
        <is>
          <t>2024-09-09</t>
        </is>
      </c>
      <c r="B25" s="18" t="inlineStr">
        <is>
          <t>AMER East</t>
        </is>
      </c>
      <c r="C25" s="18" t="inlineStr">
        <is>
          <t>Embedded Reports</t>
        </is>
      </c>
      <c r="D25" s="18" t="inlineStr">
        <is>
          <t>Mid-market</t>
        </is>
      </c>
      <c r="E25" s="18" t="inlineStr">
        <is>
          <t>D. Chatterjee</t>
        </is>
      </c>
      <c r="F25" s="20" t="n">
        <v>34800</v>
      </c>
      <c r="G25" s="34" t="inlineStr">
        <is>
          <t>Co-term with parent</t>
        </is>
      </c>
    </row>
    <row r="26">
      <c r="A26" s="39" t="inlineStr">
        <is>
          <t>2024-09-16</t>
        </is>
      </c>
      <c r="B26" s="18" t="inlineStr">
        <is>
          <t>AMER West</t>
        </is>
      </c>
      <c r="C26" s="18" t="inlineStr">
        <is>
          <t>Embedded Reports</t>
        </is>
      </c>
      <c r="D26" s="18" t="inlineStr">
        <is>
          <t>SMB</t>
        </is>
      </c>
      <c r="E26" s="18" t="inlineStr">
        <is>
          <t>D. Chatterjee</t>
        </is>
      </c>
      <c r="F26" s="20" t="n">
        <v>50200</v>
      </c>
      <c r="G26" s="34" t="inlineStr">
        <is>
          <t>Competitive displacement</t>
        </is>
      </c>
    </row>
    <row r="27">
      <c r="A27" s="39" t="inlineStr">
        <is>
          <t>2024-09-23</t>
        </is>
      </c>
      <c r="B27" s="18" t="inlineStr">
        <is>
          <t>AMER West</t>
        </is>
      </c>
      <c r="C27" s="18" t="inlineStr">
        <is>
          <t>Embedded Reports</t>
        </is>
      </c>
      <c r="D27" s="18" t="inlineStr">
        <is>
          <t>Enterprise</t>
        </is>
      </c>
      <c r="E27" s="18" t="inlineStr">
        <is>
          <t>C. Marín</t>
        </is>
      </c>
      <c r="F27" s="20" t="n">
        <v>20700</v>
      </c>
      <c r="G27" s="34" t="inlineStr">
        <is>
          <t>Ramped deal, year one</t>
        </is>
      </c>
    </row>
    <row r="28">
      <c r="A28" s="39" t="inlineStr">
        <is>
          <t>2024-09-30</t>
        </is>
      </c>
      <c r="B28" s="18" t="inlineStr">
        <is>
          <t>AMER West</t>
        </is>
      </c>
      <c r="C28" s="18" t="inlineStr">
        <is>
          <t>Embedded Reports</t>
        </is>
      </c>
      <c r="D28" s="18" t="inlineStr">
        <is>
          <t>Enterprise</t>
        </is>
      </c>
      <c r="E28" s="18" t="inlineStr">
        <is>
          <t>F. Duarte</t>
        </is>
      </c>
      <c r="F28" s="20" t="n">
        <v>51600</v>
      </c>
      <c r="G28" s="34" t="inlineStr">
        <is>
          <t>Pilot converted</t>
        </is>
      </c>
    </row>
    <row r="29">
      <c r="A29" s="39" t="inlineStr">
        <is>
          <t>2024-09-07</t>
        </is>
      </c>
      <c r="B29" s="18" t="inlineStr">
        <is>
          <t>AMER East</t>
        </is>
      </c>
      <c r="C29" s="18" t="inlineStr">
        <is>
          <t>Embedded Reports</t>
        </is>
      </c>
      <c r="D29" s="18" t="inlineStr">
        <is>
          <t>Enterprise</t>
        </is>
      </c>
      <c r="E29" s="18" t="inlineStr">
        <is>
          <t>F. Duarte</t>
        </is>
      </c>
      <c r="F29" s="20" t="n">
        <v>166800</v>
      </c>
      <c r="G29" s="34" t="inlineStr">
        <is>
          <t>Partner-sourced</t>
        </is>
      </c>
    </row>
    <row r="30">
      <c r="A30" s="39" t="inlineStr">
        <is>
          <t>2024-09-14</t>
        </is>
      </c>
      <c r="B30" s="18" t="inlineStr">
        <is>
          <t>LATAM</t>
        </is>
      </c>
      <c r="C30" s="18" t="inlineStr">
        <is>
          <t>Alerts add-on</t>
        </is>
      </c>
      <c r="D30" s="18" t="inlineStr">
        <is>
          <t>Mid-market</t>
        </is>
      </c>
      <c r="E30" s="18" t="inlineStr">
        <is>
          <t>C. Marín</t>
        </is>
      </c>
      <c r="F30" s="20" t="n">
        <v>25200</v>
      </c>
      <c r="G30" s="34" t="inlineStr">
        <is>
          <t>Standard list price</t>
        </is>
      </c>
    </row>
    <row r="31">
      <c r="A31" s="39" t="inlineStr">
        <is>
          <t>2024-09-21</t>
        </is>
      </c>
      <c r="B31" s="18" t="inlineStr">
        <is>
          <t>APAC</t>
        </is>
      </c>
      <c r="C31" s="18" t="inlineStr">
        <is>
          <t>Signal Pro</t>
        </is>
      </c>
      <c r="D31" s="18" t="inlineStr">
        <is>
          <t>Enterprise</t>
        </is>
      </c>
      <c r="E31" s="18" t="inlineStr">
        <is>
          <t>G. Halloran</t>
        </is>
      </c>
      <c r="F31" s="20" t="n">
        <v>75500</v>
      </c>
      <c r="G31" s="34" t="inlineStr">
        <is>
          <t>Multi-year prepay</t>
        </is>
      </c>
    </row>
    <row r="32">
      <c r="A32" s="39" t="inlineStr">
        <is>
          <t>2024-09-28</t>
        </is>
      </c>
      <c r="B32" s="18" t="inlineStr">
        <is>
          <t>APAC</t>
        </is>
      </c>
      <c r="C32" s="18" t="inlineStr">
        <is>
          <t>Signal Pro</t>
        </is>
      </c>
      <c r="D32" s="18" t="inlineStr">
        <is>
          <t>SMB</t>
        </is>
      </c>
      <c r="E32" s="18" t="inlineStr">
        <is>
          <t>F. Duarte</t>
        </is>
      </c>
      <c r="F32" s="20" t="n">
        <v>49600</v>
      </c>
      <c r="G32" s="34" t="inlineStr">
        <is>
          <t>Partner-sourced</t>
        </is>
      </c>
    </row>
    <row r="33">
      <c r="A33" s="39" t="inlineStr">
        <is>
          <t>2024-09-05</t>
        </is>
      </c>
      <c r="B33" s="18" t="inlineStr">
        <is>
          <t>AMER East</t>
        </is>
      </c>
      <c r="C33" s="18" t="inlineStr">
        <is>
          <t>Signal Pro</t>
        </is>
      </c>
      <c r="D33" s="18" t="inlineStr">
        <is>
          <t>Enterprise</t>
        </is>
      </c>
      <c r="E33" s="18" t="inlineStr">
        <is>
          <t>F. Duarte</t>
        </is>
      </c>
      <c r="F33" s="20" t="n">
        <v>23100</v>
      </c>
      <c r="G33" s="34" t="inlineStr">
        <is>
          <t>Partner-sourced</t>
        </is>
      </c>
    </row>
    <row r="34">
      <c r="A34" s="39" t="inlineStr">
        <is>
          <t>2024-09-12</t>
        </is>
      </c>
      <c r="B34" s="18" t="inlineStr">
        <is>
          <t>AMER East</t>
        </is>
      </c>
      <c r="C34" s="18" t="inlineStr">
        <is>
          <t>Embedded Reports</t>
        </is>
      </c>
      <c r="D34" s="18" t="inlineStr">
        <is>
          <t>Enterprise</t>
        </is>
      </c>
      <c r="E34" s="18" t="inlineStr">
        <is>
          <t>F. Duarte</t>
        </is>
      </c>
      <c r="F34" s="20" t="n">
        <v>12500</v>
      </c>
      <c r="G34" s="34" t="inlineStr">
        <is>
          <t>Co-term with parent</t>
        </is>
      </c>
    </row>
    <row r="35">
      <c r="A35" s="39" t="inlineStr">
        <is>
          <t>2024-09-19</t>
        </is>
      </c>
      <c r="B35" s="18" t="inlineStr">
        <is>
          <t>APAC</t>
        </is>
      </c>
      <c r="C35" s="18" t="inlineStr">
        <is>
          <t>Alerts add-on</t>
        </is>
      </c>
      <c r="D35" s="18" t="inlineStr">
        <is>
          <t>Enterprise</t>
        </is>
      </c>
      <c r="E35" s="18" t="inlineStr">
        <is>
          <t>J. Adeyemi</t>
        </is>
      </c>
      <c r="F35" s="20" t="n">
        <v>31700</v>
      </c>
      <c r="G35" s="34" t="inlineStr">
        <is>
          <t>Partner-sourced</t>
        </is>
      </c>
    </row>
    <row r="36">
      <c r="A36" s="39" t="inlineStr">
        <is>
          <t>2024-09-26</t>
        </is>
      </c>
      <c r="B36" s="18" t="inlineStr">
        <is>
          <t>EMEA</t>
        </is>
      </c>
      <c r="C36" s="18" t="inlineStr">
        <is>
          <t>Warehouse Connect</t>
        </is>
      </c>
      <c r="D36" s="18" t="inlineStr">
        <is>
          <t>Enterprise</t>
        </is>
      </c>
      <c r="E36" s="18" t="inlineStr">
        <is>
          <t>J. Adeyemi</t>
        </is>
      </c>
      <c r="F36" s="20" t="n">
        <v>23600</v>
      </c>
      <c r="G36" s="34" t="inlineStr">
        <is>
          <t>Partner-sourced</t>
        </is>
      </c>
    </row>
    <row r="37">
      <c r="A37" s="39" t="inlineStr">
        <is>
          <t>2024-09-03</t>
        </is>
      </c>
      <c r="B37" s="18" t="inlineStr">
        <is>
          <t>EMEA</t>
        </is>
      </c>
      <c r="C37" s="18" t="inlineStr">
        <is>
          <t>Alerts add-on</t>
        </is>
      </c>
      <c r="D37" s="18" t="inlineStr">
        <is>
          <t>Mid-market</t>
        </is>
      </c>
      <c r="E37" s="18" t="inlineStr">
        <is>
          <t>C. Marín</t>
        </is>
      </c>
      <c r="F37" s="20" t="n">
        <v>24800</v>
      </c>
      <c r="G37" s="34" t="inlineStr">
        <is>
          <t>Pilot converted</t>
        </is>
      </c>
    </row>
    <row r="38">
      <c r="A38" s="39" t="inlineStr">
        <is>
          <t>2024-09-10</t>
        </is>
      </c>
      <c r="B38" s="18" t="inlineStr">
        <is>
          <t>LATAM</t>
        </is>
      </c>
      <c r="C38" s="18" t="inlineStr">
        <is>
          <t>Alerts add-on</t>
        </is>
      </c>
      <c r="D38" s="18" t="inlineStr">
        <is>
          <t>Enterprise</t>
        </is>
      </c>
      <c r="E38" s="18" t="inlineStr">
        <is>
          <t>H. Vasquez</t>
        </is>
      </c>
      <c r="F38" s="20" t="n">
        <v>19900</v>
      </c>
      <c r="G38" s="34" t="inlineStr">
        <is>
          <t>Ramped deal, year one</t>
        </is>
      </c>
    </row>
    <row r="39">
      <c r="A39" s="39" t="inlineStr">
        <is>
          <t>2024-09-17</t>
        </is>
      </c>
      <c r="B39" s="18" t="inlineStr">
        <is>
          <t>AMER East</t>
        </is>
      </c>
      <c r="C39" s="18" t="inlineStr">
        <is>
          <t>Alerts add-on</t>
        </is>
      </c>
      <c r="D39" s="18" t="inlineStr">
        <is>
          <t>SMB</t>
        </is>
      </c>
      <c r="E39" s="18" t="inlineStr">
        <is>
          <t>J. Adeyemi</t>
        </is>
      </c>
      <c r="F39" s="20" t="n">
        <v>57400</v>
      </c>
      <c r="G39" s="34" t="inlineStr">
        <is>
          <t>Competitive displacement</t>
        </is>
      </c>
    </row>
    <row r="40">
      <c r="A40" s="39" t="inlineStr">
        <is>
          <t>2024-09-24</t>
        </is>
      </c>
      <c r="B40" s="18" t="inlineStr">
        <is>
          <t>AMER East</t>
        </is>
      </c>
      <c r="C40" s="18" t="inlineStr">
        <is>
          <t>Signal Pro</t>
        </is>
      </c>
      <c r="D40" s="18" t="inlineStr">
        <is>
          <t>Mid-market</t>
        </is>
      </c>
      <c r="E40" s="18" t="inlineStr">
        <is>
          <t>B. Lindqvist</t>
        </is>
      </c>
      <c r="F40" s="20" t="n">
        <v>29500</v>
      </c>
      <c r="G40" s="34" t="inlineStr">
        <is>
          <t>Standard list price</t>
        </is>
      </c>
    </row>
    <row r="41">
      <c r="A41" s="39" t="inlineStr">
        <is>
          <t>2024-09-01</t>
        </is>
      </c>
      <c r="B41" s="18" t="inlineStr">
        <is>
          <t>LATAM</t>
        </is>
      </c>
      <c r="C41" s="18" t="inlineStr">
        <is>
          <t>Alerts add-on</t>
        </is>
      </c>
      <c r="D41" s="18" t="inlineStr">
        <is>
          <t>Mid-market</t>
        </is>
      </c>
      <c r="E41" s="18" t="inlineStr">
        <is>
          <t>K. Sørensen</t>
        </is>
      </c>
      <c r="F41" s="20" t="n">
        <v>56800</v>
      </c>
      <c r="G41" s="34" t="inlineStr">
        <is>
          <t>Pilot converted</t>
        </is>
      </c>
    </row>
    <row r="42">
      <c r="A42" s="39" t="inlineStr">
        <is>
          <t>2024-09-08</t>
        </is>
      </c>
      <c r="B42" s="18" t="inlineStr">
        <is>
          <t>EMEA</t>
        </is>
      </c>
      <c r="C42" s="18" t="inlineStr">
        <is>
          <t>Embedded Reports</t>
        </is>
      </c>
      <c r="D42" s="18" t="inlineStr">
        <is>
          <t>Mid-market</t>
        </is>
      </c>
      <c r="E42" s="18" t="inlineStr">
        <is>
          <t>G. Halloran</t>
        </is>
      </c>
      <c r="F42" s="20" t="n">
        <v>37300</v>
      </c>
      <c r="G42" s="34" t="inlineStr">
        <is>
          <t>Standard list price</t>
        </is>
      </c>
    </row>
    <row r="43">
      <c r="A43" s="39" t="inlineStr">
        <is>
          <t>2024-09-15</t>
        </is>
      </c>
      <c r="B43" s="18" t="inlineStr">
        <is>
          <t>EMEA</t>
        </is>
      </c>
      <c r="C43" s="18" t="inlineStr">
        <is>
          <t>Alerts add-on</t>
        </is>
      </c>
      <c r="D43" s="18" t="inlineStr">
        <is>
          <t>SMB</t>
        </is>
      </c>
      <c r="E43" s="18" t="inlineStr">
        <is>
          <t>K. Sørensen</t>
        </is>
      </c>
      <c r="F43" s="20" t="n">
        <v>137100</v>
      </c>
      <c r="G43" s="34" t="inlineStr">
        <is>
          <t>Renewal uplift 7%</t>
        </is>
      </c>
    </row>
    <row r="44">
      <c r="A44" s="39" t="inlineStr">
        <is>
          <t>2024-09-22</t>
        </is>
      </c>
      <c r="B44" s="18" t="inlineStr">
        <is>
          <t>LATAM</t>
        </is>
      </c>
      <c r="C44" s="18" t="inlineStr">
        <is>
          <t>Signal Core</t>
        </is>
      </c>
      <c r="D44" s="18" t="inlineStr">
        <is>
          <t>Enterprise</t>
        </is>
      </c>
      <c r="E44" s="18" t="inlineStr">
        <is>
          <t>E. Nakamura</t>
        </is>
      </c>
      <c r="F44" s="20" t="n">
        <v>17800</v>
      </c>
      <c r="G44" s="34" t="inlineStr">
        <is>
          <t>Pilot converted</t>
        </is>
      </c>
    </row>
    <row r="45">
      <c r="A45" s="39" t="inlineStr">
        <is>
          <t>2024-09-29</t>
        </is>
      </c>
      <c r="B45" s="18" t="inlineStr">
        <is>
          <t>APAC</t>
        </is>
      </c>
      <c r="C45" s="18" t="inlineStr">
        <is>
          <t>Signal Core</t>
        </is>
      </c>
      <c r="D45" s="18" t="inlineStr">
        <is>
          <t>Mid-market</t>
        </is>
      </c>
      <c r="E45" s="18" t="inlineStr">
        <is>
          <t>G. Halloran</t>
        </is>
      </c>
      <c r="F45" s="20" t="n">
        <v>19200</v>
      </c>
      <c r="G45" s="34" t="inlineStr">
        <is>
          <t>Ramped deal, year one</t>
        </is>
      </c>
    </row>
    <row r="46">
      <c r="A46" s="39" t="inlineStr">
        <is>
          <t>2024-09-06</t>
        </is>
      </c>
      <c r="B46" s="18" t="inlineStr">
        <is>
          <t>LATAM</t>
        </is>
      </c>
      <c r="C46" s="18" t="inlineStr">
        <is>
          <t>Signal Core</t>
        </is>
      </c>
      <c r="D46" s="18" t="inlineStr">
        <is>
          <t>Enterprise</t>
        </is>
      </c>
      <c r="E46" s="18" t="inlineStr">
        <is>
          <t>E. Nakamura</t>
        </is>
      </c>
      <c r="F46" s="20" t="n">
        <v>21200</v>
      </c>
      <c r="G46" s="34" t="inlineStr">
        <is>
          <t>Renewal uplift 7%</t>
        </is>
      </c>
    </row>
    <row r="47">
      <c r="A47" s="39" t="inlineStr">
        <is>
          <t>2024-09-13</t>
        </is>
      </c>
      <c r="B47" s="18" t="inlineStr">
        <is>
          <t>AMER East</t>
        </is>
      </c>
      <c r="C47" s="18" t="inlineStr">
        <is>
          <t>Embedded Reports</t>
        </is>
      </c>
      <c r="D47" s="18" t="inlineStr">
        <is>
          <t>SMB</t>
        </is>
      </c>
      <c r="E47" s="18" t="inlineStr">
        <is>
          <t>J. Adeyemi</t>
        </is>
      </c>
      <c r="F47" s="20" t="n">
        <v>19900</v>
      </c>
      <c r="G47" s="34" t="inlineStr">
        <is>
          <t>Partner-sourced</t>
        </is>
      </c>
    </row>
    <row r="48">
      <c r="A48" s="39" t="inlineStr">
        <is>
          <t>2024-09-20</t>
        </is>
      </c>
      <c r="B48" s="18" t="inlineStr">
        <is>
          <t>AMER West</t>
        </is>
      </c>
      <c r="C48" s="18" t="inlineStr">
        <is>
          <t>Warehouse Connect</t>
        </is>
      </c>
      <c r="D48" s="18" t="inlineStr">
        <is>
          <t>Mid-market</t>
        </is>
      </c>
      <c r="E48" s="18" t="inlineStr">
        <is>
          <t>F. Duarte</t>
        </is>
      </c>
      <c r="F48" s="20" t="n">
        <v>53200</v>
      </c>
      <c r="G48" s="34" t="inlineStr">
        <is>
          <t>Co-term with parent</t>
        </is>
      </c>
    </row>
    <row r="49">
      <c r="A49" s="39" t="inlineStr">
        <is>
          <t>2024-09-27</t>
        </is>
      </c>
      <c r="B49" s="18" t="inlineStr">
        <is>
          <t>AMER West</t>
        </is>
      </c>
      <c r="C49" s="18" t="inlineStr">
        <is>
          <t>Warehouse Connect</t>
        </is>
      </c>
      <c r="D49" s="18" t="inlineStr">
        <is>
          <t>Enterprise</t>
        </is>
      </c>
      <c r="E49" s="18" t="inlineStr">
        <is>
          <t>B. Lindqvist</t>
        </is>
      </c>
      <c r="F49" s="20" t="n">
        <v>65100</v>
      </c>
      <c r="G49" s="34" t="inlineStr">
        <is>
          <t>Multi-year prepay</t>
        </is>
      </c>
    </row>
    <row r="50">
      <c r="A50" s="39" t="inlineStr">
        <is>
          <t>2024-09-04</t>
        </is>
      </c>
      <c r="B50" s="18" t="inlineStr">
        <is>
          <t>APAC</t>
        </is>
      </c>
      <c r="C50" s="18" t="inlineStr">
        <is>
          <t>Signal Pro</t>
        </is>
      </c>
      <c r="D50" s="18" t="inlineStr">
        <is>
          <t>SMB</t>
        </is>
      </c>
      <c r="E50" s="18" t="inlineStr">
        <is>
          <t>F. Duarte</t>
        </is>
      </c>
      <c r="F50" s="20" t="n">
        <v>6300</v>
      </c>
      <c r="G50" s="34" t="inlineStr">
        <is>
          <t>Partner-sourced</t>
        </is>
      </c>
    </row>
    <row r="51">
      <c r="A51" s="39" t="inlineStr">
        <is>
          <t>2024-09-11</t>
        </is>
      </c>
      <c r="B51" s="18" t="inlineStr">
        <is>
          <t>AMER East</t>
        </is>
      </c>
      <c r="C51" s="18" t="inlineStr">
        <is>
          <t>Signal Pro</t>
        </is>
      </c>
      <c r="D51" s="18" t="inlineStr">
        <is>
          <t>Mid-market</t>
        </is>
      </c>
      <c r="E51" s="18" t="inlineStr">
        <is>
          <t>K. Sørensen</t>
        </is>
      </c>
      <c r="F51" s="20" t="n">
        <v>99400</v>
      </c>
      <c r="G51" s="34" t="inlineStr">
        <is>
          <t>Co-term with parent</t>
        </is>
      </c>
    </row>
    <row r="52">
      <c r="A52" s="39" t="inlineStr">
        <is>
          <t>2024-09-18</t>
        </is>
      </c>
      <c r="B52" s="18" t="inlineStr">
        <is>
          <t>APAC</t>
        </is>
      </c>
      <c r="C52" s="18" t="inlineStr">
        <is>
          <t>Signal Pro</t>
        </is>
      </c>
      <c r="D52" s="18" t="inlineStr">
        <is>
          <t>Mid-market</t>
        </is>
      </c>
      <c r="E52" s="18" t="inlineStr">
        <is>
          <t>A. Okafor</t>
        </is>
      </c>
      <c r="F52" s="20" t="n">
        <v>225000</v>
      </c>
      <c r="G52" s="34" t="inlineStr">
        <is>
          <t>Ramped deal, year one</t>
        </is>
      </c>
    </row>
    <row r="53">
      <c r="A53" s="39" t="inlineStr">
        <is>
          <t>2024-09-25</t>
        </is>
      </c>
      <c r="B53" s="18" t="inlineStr">
        <is>
          <t>APAC</t>
        </is>
      </c>
      <c r="C53" s="18" t="inlineStr">
        <is>
          <t>Signal Pro</t>
        </is>
      </c>
      <c r="D53" s="18" t="inlineStr">
        <is>
          <t>SMB</t>
        </is>
      </c>
      <c r="E53" s="18" t="inlineStr">
        <is>
          <t>C. Marín</t>
        </is>
      </c>
      <c r="F53" s="20" t="n">
        <v>62200</v>
      </c>
      <c r="G53" s="34" t="inlineStr">
        <is>
          <t>Renewal uplift 7%</t>
        </is>
      </c>
    </row>
    <row r="54">
      <c r="A54" s="39" t="inlineStr">
        <is>
          <t>2024-09-02</t>
        </is>
      </c>
      <c r="B54" s="18" t="inlineStr">
        <is>
          <t>EMEA</t>
        </is>
      </c>
      <c r="C54" s="18" t="inlineStr">
        <is>
          <t>Embedded Reports</t>
        </is>
      </c>
      <c r="D54" s="18" t="inlineStr">
        <is>
          <t>SMB</t>
        </is>
      </c>
      <c r="E54" s="18" t="inlineStr">
        <is>
          <t>B. Lindqvist</t>
        </is>
      </c>
      <c r="F54" s="20" t="n">
        <v>24000</v>
      </c>
      <c r="G54" s="34" t="inlineStr">
        <is>
          <t>Co-term with parent</t>
        </is>
      </c>
    </row>
    <row r="55">
      <c r="A55" s="39" t="inlineStr">
        <is>
          <t>2024-09-09</t>
        </is>
      </c>
      <c r="B55" s="18" t="inlineStr">
        <is>
          <t>AMER East</t>
        </is>
      </c>
      <c r="C55" s="18" t="inlineStr">
        <is>
          <t>Alerts add-on</t>
        </is>
      </c>
      <c r="D55" s="18" t="inlineStr">
        <is>
          <t>Mid-market</t>
        </is>
      </c>
      <c r="E55" s="18" t="inlineStr">
        <is>
          <t>B. Lindqvist</t>
        </is>
      </c>
      <c r="F55" s="20" t="n">
        <v>108800</v>
      </c>
      <c r="G55" s="34" t="inlineStr">
        <is>
          <t>Competitive displacement</t>
        </is>
      </c>
    </row>
    <row r="56">
      <c r="A56" s="39" t="inlineStr">
        <is>
          <t>2024-09-16</t>
        </is>
      </c>
      <c r="B56" s="18" t="inlineStr">
        <is>
          <t>AMER East</t>
        </is>
      </c>
      <c r="C56" s="18" t="inlineStr">
        <is>
          <t>Embedded Reports</t>
        </is>
      </c>
      <c r="D56" s="18" t="inlineStr">
        <is>
          <t>Enterprise</t>
        </is>
      </c>
      <c r="E56" s="18" t="inlineStr">
        <is>
          <t>E. Nakamura</t>
        </is>
      </c>
      <c r="F56" s="20" t="n">
        <v>212700</v>
      </c>
      <c r="G56" s="34" t="inlineStr">
        <is>
          <t>Renewal uplift 7%</t>
        </is>
      </c>
    </row>
    <row r="57">
      <c r="A57" s="39" t="inlineStr">
        <is>
          <t>2024-09-23</t>
        </is>
      </c>
      <c r="B57" s="18" t="inlineStr">
        <is>
          <t>AMER East</t>
        </is>
      </c>
      <c r="C57" s="18" t="inlineStr">
        <is>
          <t>Embedded Reports</t>
        </is>
      </c>
      <c r="D57" s="18" t="inlineStr">
        <is>
          <t>SMB</t>
        </is>
      </c>
      <c r="E57" s="18" t="inlineStr">
        <is>
          <t>H. Vasquez</t>
        </is>
      </c>
      <c r="F57" s="20" t="n">
        <v>33300</v>
      </c>
      <c r="G57" s="34" t="inlineStr">
        <is>
          <t>Standard list price</t>
        </is>
      </c>
    </row>
    <row r="58">
      <c r="A58" s="39" t="inlineStr">
        <is>
          <t>2024-09-30</t>
        </is>
      </c>
      <c r="B58" s="18" t="inlineStr">
        <is>
          <t>LATAM</t>
        </is>
      </c>
      <c r="C58" s="18" t="inlineStr">
        <is>
          <t>Alerts add-on</t>
        </is>
      </c>
      <c r="D58" s="18" t="inlineStr">
        <is>
          <t>Enterprise</t>
        </is>
      </c>
      <c r="E58" s="18" t="inlineStr">
        <is>
          <t>B. Lindqvist</t>
        </is>
      </c>
      <c r="F58" s="20" t="n">
        <v>34500</v>
      </c>
      <c r="G58" s="34" t="inlineStr">
        <is>
          <t>Multi-year prepay</t>
        </is>
      </c>
    </row>
    <row r="59">
      <c r="A59" s="39" t="inlineStr">
        <is>
          <t>2024-09-07</t>
        </is>
      </c>
      <c r="B59" s="18" t="inlineStr">
        <is>
          <t>LATAM</t>
        </is>
      </c>
      <c r="C59" s="18" t="inlineStr">
        <is>
          <t>Signal Pro</t>
        </is>
      </c>
      <c r="D59" s="18" t="inlineStr">
        <is>
          <t>Mid-market</t>
        </is>
      </c>
      <c r="E59" s="18" t="inlineStr">
        <is>
          <t>D. Chatterjee</t>
        </is>
      </c>
      <c r="F59" s="20" t="n">
        <v>22100</v>
      </c>
      <c r="G59" s="34" t="inlineStr">
        <is>
          <t>Standard list price</t>
        </is>
      </c>
    </row>
    <row r="60">
      <c r="A60" s="39" t="inlineStr">
        <is>
          <t>2024-09-14</t>
        </is>
      </c>
      <c r="B60" s="18" t="inlineStr">
        <is>
          <t>EMEA</t>
        </is>
      </c>
      <c r="C60" s="18" t="inlineStr">
        <is>
          <t>Signal Pro</t>
        </is>
      </c>
      <c r="D60" s="18" t="inlineStr">
        <is>
          <t>Mid-market</t>
        </is>
      </c>
      <c r="E60" s="18" t="inlineStr">
        <is>
          <t>E. Nakamura</t>
        </is>
      </c>
      <c r="F60" s="20" t="n">
        <v>28200</v>
      </c>
      <c r="G60" s="34" t="inlineStr">
        <is>
          <t>Standard list price</t>
        </is>
      </c>
    </row>
    <row r="61">
      <c r="A61" s="39" t="inlineStr">
        <is>
          <t>2024-09-21</t>
        </is>
      </c>
      <c r="B61" s="18" t="inlineStr">
        <is>
          <t>LATAM</t>
        </is>
      </c>
      <c r="C61" s="18" t="inlineStr">
        <is>
          <t>Signal Pro</t>
        </is>
      </c>
      <c r="D61" s="18" t="inlineStr">
        <is>
          <t>Mid-market</t>
        </is>
      </c>
      <c r="E61" s="18" t="inlineStr">
        <is>
          <t>D. Chatterjee</t>
        </is>
      </c>
      <c r="F61" s="20" t="n">
        <v>64800</v>
      </c>
      <c r="G61" s="34" t="inlineStr">
        <is>
          <t>Standard list price</t>
        </is>
      </c>
    </row>
    <row r="62">
      <c r="A62" s="39" t="inlineStr">
        <is>
          <t>2024-09-28</t>
        </is>
      </c>
      <c r="B62" s="18" t="inlineStr">
        <is>
          <t>LATAM</t>
        </is>
      </c>
      <c r="C62" s="18" t="inlineStr">
        <is>
          <t>Embedded Reports</t>
        </is>
      </c>
      <c r="D62" s="18" t="inlineStr">
        <is>
          <t>SMB</t>
        </is>
      </c>
      <c r="E62" s="18" t="inlineStr">
        <is>
          <t>D. Chatterjee</t>
        </is>
      </c>
      <c r="F62" s="20" t="n">
        <v>64000</v>
      </c>
      <c r="G62" s="34" t="inlineStr">
        <is>
          <t>Competitive displacement</t>
        </is>
      </c>
    </row>
    <row r="63">
      <c r="A63" s="39" t="inlineStr">
        <is>
          <t>2024-09-05</t>
        </is>
      </c>
      <c r="B63" s="18" t="inlineStr">
        <is>
          <t>AMER East</t>
        </is>
      </c>
      <c r="C63" s="18" t="inlineStr">
        <is>
          <t>Alerts add-on</t>
        </is>
      </c>
      <c r="D63" s="18" t="inlineStr">
        <is>
          <t>SMB</t>
        </is>
      </c>
      <c r="E63" s="18" t="inlineStr">
        <is>
          <t>D. Chatterjee</t>
        </is>
      </c>
      <c r="F63" s="20" t="n">
        <v>47100</v>
      </c>
      <c r="G63" s="34" t="inlineStr">
        <is>
          <t>Multi-year prepay</t>
        </is>
      </c>
    </row>
    <row r="64">
      <c r="A64" s="39" t="inlineStr">
        <is>
          <t>2024-09-12</t>
        </is>
      </c>
      <c r="B64" s="18" t="inlineStr">
        <is>
          <t>EMEA</t>
        </is>
      </c>
      <c r="C64" s="18" t="inlineStr">
        <is>
          <t>Embedded Reports</t>
        </is>
      </c>
      <c r="D64" s="18" t="inlineStr">
        <is>
          <t>Enterprise</t>
        </is>
      </c>
      <c r="E64" s="18" t="inlineStr">
        <is>
          <t>J. Adeyemi</t>
        </is>
      </c>
      <c r="F64" s="20" t="n">
        <v>57500</v>
      </c>
      <c r="G64" s="34" t="inlineStr">
        <is>
          <t>Standard list price</t>
        </is>
      </c>
    </row>
    <row r="65">
      <c r="A65" s="39" t="inlineStr">
        <is>
          <t>2024-09-19</t>
        </is>
      </c>
      <c r="B65" s="18" t="inlineStr">
        <is>
          <t>APAC</t>
        </is>
      </c>
      <c r="C65" s="18" t="inlineStr">
        <is>
          <t>Warehouse Connect</t>
        </is>
      </c>
      <c r="D65" s="18" t="inlineStr">
        <is>
          <t>Enterprise</t>
        </is>
      </c>
      <c r="E65" s="18" t="inlineStr">
        <is>
          <t>F. Duarte</t>
        </is>
      </c>
      <c r="F65" s="20" t="n">
        <v>47600</v>
      </c>
      <c r="G65" s="34" t="inlineStr">
        <is>
          <t>Ramped deal, year one</t>
        </is>
      </c>
    </row>
    <row r="66">
      <c r="A66" s="39" t="inlineStr">
        <is>
          <t>2024-09-26</t>
        </is>
      </c>
      <c r="B66" s="18" t="inlineStr">
        <is>
          <t>LATAM</t>
        </is>
      </c>
      <c r="C66" s="18" t="inlineStr">
        <is>
          <t>Alerts add-on</t>
        </is>
      </c>
      <c r="D66" s="18" t="inlineStr">
        <is>
          <t>Mid-market</t>
        </is>
      </c>
      <c r="E66" s="18" t="inlineStr">
        <is>
          <t>J. Adeyemi</t>
        </is>
      </c>
      <c r="F66" s="20" t="n">
        <v>72600</v>
      </c>
      <c r="G66" s="34" t="inlineStr">
        <is>
          <t>Multi-year prepay</t>
        </is>
      </c>
    </row>
    <row r="67">
      <c r="A67" s="39" t="inlineStr">
        <is>
          <t>2024-09-03</t>
        </is>
      </c>
      <c r="B67" s="18" t="inlineStr">
        <is>
          <t>APAC</t>
        </is>
      </c>
      <c r="C67" s="18" t="inlineStr">
        <is>
          <t>Signal Pro</t>
        </is>
      </c>
      <c r="D67" s="18" t="inlineStr">
        <is>
          <t>Mid-market</t>
        </is>
      </c>
      <c r="E67" s="18" t="inlineStr">
        <is>
          <t>D. Chatterjee</t>
        </is>
      </c>
      <c r="F67" s="20" t="n">
        <v>18400</v>
      </c>
      <c r="G67" s="34" t="inlineStr">
        <is>
          <t>Ramped deal, year one</t>
        </is>
      </c>
    </row>
    <row r="68">
      <c r="A68" s="39" t="inlineStr">
        <is>
          <t>2024-09-10</t>
        </is>
      </c>
      <c r="B68" s="18" t="inlineStr">
        <is>
          <t>LATAM</t>
        </is>
      </c>
      <c r="C68" s="18" t="inlineStr">
        <is>
          <t>Signal Pro</t>
        </is>
      </c>
      <c r="D68" s="18" t="inlineStr">
        <is>
          <t>Mid-market</t>
        </is>
      </c>
      <c r="E68" s="18" t="inlineStr">
        <is>
          <t>F. Duarte</t>
        </is>
      </c>
      <c r="F68" s="20" t="n">
        <v>9700</v>
      </c>
      <c r="G68" s="34" t="inlineStr">
        <is>
          <t>Multi-year prepay</t>
        </is>
      </c>
    </row>
    <row r="69">
      <c r="A69" s="39" t="inlineStr">
        <is>
          <t>2024-09-17</t>
        </is>
      </c>
      <c r="B69" s="18" t="inlineStr">
        <is>
          <t>AMER West</t>
        </is>
      </c>
      <c r="C69" s="18" t="inlineStr">
        <is>
          <t>Signal Core</t>
        </is>
      </c>
      <c r="D69" s="18" t="inlineStr">
        <is>
          <t>Mid-market</t>
        </is>
      </c>
      <c r="E69" s="18" t="inlineStr">
        <is>
          <t>J. Adeyemi</t>
        </is>
      </c>
      <c r="F69" s="20" t="n">
        <v>7800</v>
      </c>
      <c r="G69" s="34" t="inlineStr">
        <is>
          <t>Co-term with parent</t>
        </is>
      </c>
    </row>
    <row r="70">
      <c r="A70" s="39" t="inlineStr">
        <is>
          <t>2024-09-24</t>
        </is>
      </c>
      <c r="B70" s="18" t="inlineStr">
        <is>
          <t>EMEA</t>
        </is>
      </c>
      <c r="C70" s="18" t="inlineStr">
        <is>
          <t>Alerts add-on</t>
        </is>
      </c>
      <c r="D70" s="18" t="inlineStr">
        <is>
          <t>Enterprise</t>
        </is>
      </c>
      <c r="E70" s="18" t="inlineStr">
        <is>
          <t>E. Nakamura</t>
        </is>
      </c>
      <c r="F70" s="20" t="n">
        <v>32000</v>
      </c>
      <c r="G70" s="34" t="inlineStr">
        <is>
          <t>Co-term with parent</t>
        </is>
      </c>
    </row>
    <row r="71">
      <c r="A71" s="39" t="inlineStr">
        <is>
          <t>2024-09-01</t>
        </is>
      </c>
      <c r="B71" s="18" t="inlineStr">
        <is>
          <t>LATAM</t>
        </is>
      </c>
      <c r="C71" s="18" t="inlineStr">
        <is>
          <t>Signal Core</t>
        </is>
      </c>
      <c r="D71" s="18" t="inlineStr">
        <is>
          <t>Enterprise</t>
        </is>
      </c>
      <c r="E71" s="18" t="inlineStr">
        <is>
          <t>E. Nakamura</t>
        </is>
      </c>
      <c r="F71" s="20" t="n">
        <v>63400</v>
      </c>
      <c r="G71" s="34" t="inlineStr">
        <is>
          <t>Competitive displacement</t>
        </is>
      </c>
    </row>
    <row r="72">
      <c r="A72" s="39" t="inlineStr">
        <is>
          <t>2024-09-08</t>
        </is>
      </c>
      <c r="B72" s="18" t="inlineStr">
        <is>
          <t>LATAM</t>
        </is>
      </c>
      <c r="C72" s="18" t="inlineStr">
        <is>
          <t>Signal Core</t>
        </is>
      </c>
      <c r="D72" s="18" t="inlineStr">
        <is>
          <t>Mid-market</t>
        </is>
      </c>
      <c r="E72" s="18" t="inlineStr">
        <is>
          <t>C. Marín</t>
        </is>
      </c>
      <c r="F72" s="20" t="n">
        <v>55700</v>
      </c>
      <c r="G72" s="34" t="inlineStr">
        <is>
          <t>Co-term with parent</t>
        </is>
      </c>
    </row>
    <row r="73">
      <c r="A73" s="39" t="inlineStr">
        <is>
          <t>2024-09-15</t>
        </is>
      </c>
      <c r="B73" s="18" t="inlineStr">
        <is>
          <t>AMER East</t>
        </is>
      </c>
      <c r="C73" s="18" t="inlineStr">
        <is>
          <t>Alerts add-on</t>
        </is>
      </c>
      <c r="D73" s="18" t="inlineStr">
        <is>
          <t>Mid-market</t>
        </is>
      </c>
      <c r="E73" s="18" t="inlineStr">
        <is>
          <t>K. Sørensen</t>
        </is>
      </c>
      <c r="F73" s="20" t="n">
        <v>51600</v>
      </c>
      <c r="G73" s="34" t="inlineStr">
        <is>
          <t>Pilot converted</t>
        </is>
      </c>
    </row>
    <row r="74">
      <c r="A74" s="39" t="inlineStr">
        <is>
          <t>2024-09-22</t>
        </is>
      </c>
      <c r="B74" s="18" t="inlineStr">
        <is>
          <t>LATAM</t>
        </is>
      </c>
      <c r="C74" s="18" t="inlineStr">
        <is>
          <t>Signal Pro</t>
        </is>
      </c>
      <c r="D74" s="18" t="inlineStr">
        <is>
          <t>Enterprise</t>
        </is>
      </c>
      <c r="E74" s="18" t="inlineStr">
        <is>
          <t>G. Halloran</t>
        </is>
      </c>
      <c r="F74" s="20" t="n">
        <v>91600</v>
      </c>
      <c r="G74" s="34" t="inlineStr">
        <is>
          <t>Renewal uplift 7%</t>
        </is>
      </c>
    </row>
    <row r="75">
      <c r="A75" s="39" t="inlineStr">
        <is>
          <t>2024-09-29</t>
        </is>
      </c>
      <c r="B75" s="18" t="inlineStr">
        <is>
          <t>AMER East</t>
        </is>
      </c>
      <c r="C75" s="18" t="inlineStr">
        <is>
          <t>Alerts add-on</t>
        </is>
      </c>
      <c r="D75" s="18" t="inlineStr">
        <is>
          <t>Mid-market</t>
        </is>
      </c>
      <c r="E75" s="18" t="inlineStr">
        <is>
          <t>K. Sørensen</t>
        </is>
      </c>
      <c r="F75" s="20" t="n">
        <v>108300</v>
      </c>
      <c r="G75" s="34" t="inlineStr">
        <is>
          <t>Ramped deal, year one</t>
        </is>
      </c>
    </row>
    <row r="76">
      <c r="A76" s="39" t="inlineStr">
        <is>
          <t>2024-09-06</t>
        </is>
      </c>
      <c r="B76" s="18" t="inlineStr">
        <is>
          <t>AMER West</t>
        </is>
      </c>
      <c r="C76" s="18" t="inlineStr">
        <is>
          <t>Warehouse Connect</t>
        </is>
      </c>
      <c r="D76" s="18" t="inlineStr">
        <is>
          <t>Enterprise</t>
        </is>
      </c>
      <c r="E76" s="18" t="inlineStr">
        <is>
          <t>D. Chatterjee</t>
        </is>
      </c>
      <c r="F76" s="20" t="n">
        <v>38000</v>
      </c>
      <c r="G76" s="34" t="inlineStr">
        <is>
          <t>Competitive displacement</t>
        </is>
      </c>
    </row>
    <row r="77">
      <c r="A77" s="39" t="inlineStr">
        <is>
          <t>2024-09-13</t>
        </is>
      </c>
      <c r="B77" s="18" t="inlineStr">
        <is>
          <t>AMER East</t>
        </is>
      </c>
      <c r="C77" s="18" t="inlineStr">
        <is>
          <t>Warehouse Connect</t>
        </is>
      </c>
      <c r="D77" s="18" t="inlineStr">
        <is>
          <t>Enterprise</t>
        </is>
      </c>
      <c r="E77" s="18" t="inlineStr">
        <is>
          <t>G. Halloran</t>
        </is>
      </c>
      <c r="F77" s="20" t="n">
        <v>27000</v>
      </c>
      <c r="G77" s="34" t="inlineStr">
        <is>
          <t>Standard list price</t>
        </is>
      </c>
    </row>
    <row r="78">
      <c r="A78" s="39" t="inlineStr">
        <is>
          <t>2024-09-20</t>
        </is>
      </c>
      <c r="B78" s="18" t="inlineStr">
        <is>
          <t>AMER East</t>
        </is>
      </c>
      <c r="C78" s="18" t="inlineStr">
        <is>
          <t>Signal Pro</t>
        </is>
      </c>
      <c r="D78" s="18" t="inlineStr">
        <is>
          <t>SMB</t>
        </is>
      </c>
      <c r="E78" s="18" t="inlineStr">
        <is>
          <t>A. Okafor</t>
        </is>
      </c>
      <c r="F78" s="20" t="n">
        <v>142400</v>
      </c>
      <c r="G78" s="34" t="inlineStr">
        <is>
          <t>Ramped deal, year one</t>
        </is>
      </c>
    </row>
    <row r="79">
      <c r="A79" s="39" t="inlineStr">
        <is>
          <t>2024-09-27</t>
        </is>
      </c>
      <c r="B79" s="18" t="inlineStr">
        <is>
          <t>LATAM</t>
        </is>
      </c>
      <c r="C79" s="18" t="inlineStr">
        <is>
          <t>Signal Pro</t>
        </is>
      </c>
      <c r="D79" s="18" t="inlineStr">
        <is>
          <t>Enterprise</t>
        </is>
      </c>
      <c r="E79" s="18" t="inlineStr">
        <is>
          <t>B. Lindqvist</t>
        </is>
      </c>
      <c r="F79" s="20" t="n">
        <v>56000</v>
      </c>
      <c r="G79" s="34" t="inlineStr">
        <is>
          <t>Co-term with parent</t>
        </is>
      </c>
    </row>
    <row r="80">
      <c r="A80" s="39" t="inlineStr">
        <is>
          <t>2024-09-04</t>
        </is>
      </c>
      <c r="B80" s="18" t="inlineStr">
        <is>
          <t>LATAM</t>
        </is>
      </c>
      <c r="C80" s="18" t="inlineStr">
        <is>
          <t>Signal Pro</t>
        </is>
      </c>
      <c r="D80" s="18" t="inlineStr">
        <is>
          <t>SMB</t>
        </is>
      </c>
      <c r="E80" s="18" t="inlineStr">
        <is>
          <t>K. Sørensen</t>
        </is>
      </c>
      <c r="F80" s="20" t="n">
        <v>13700</v>
      </c>
      <c r="G80" s="34" t="inlineStr">
        <is>
          <t>Standard list price</t>
        </is>
      </c>
    </row>
    <row r="81">
      <c r="A81" s="39" t="inlineStr">
        <is>
          <t>2024-09-11</t>
        </is>
      </c>
      <c r="B81" s="18" t="inlineStr">
        <is>
          <t>AMER West</t>
        </is>
      </c>
      <c r="C81" s="18" t="inlineStr">
        <is>
          <t>Warehouse Connect</t>
        </is>
      </c>
      <c r="D81" s="18" t="inlineStr">
        <is>
          <t>Enterprise</t>
        </is>
      </c>
      <c r="E81" s="18" t="inlineStr">
        <is>
          <t>F. Duarte</t>
        </is>
      </c>
      <c r="F81" s="20" t="n">
        <v>153000</v>
      </c>
      <c r="G81" s="34" t="inlineStr">
        <is>
          <t>Co-term with parent</t>
        </is>
      </c>
    </row>
    <row r="82">
      <c r="A82" s="39" t="inlineStr">
        <is>
          <t>2024-09-18</t>
        </is>
      </c>
      <c r="B82" s="18" t="inlineStr">
        <is>
          <t>AMER East</t>
        </is>
      </c>
      <c r="C82" s="18" t="inlineStr">
        <is>
          <t>Signal Core</t>
        </is>
      </c>
      <c r="D82" s="18" t="inlineStr">
        <is>
          <t>SMB</t>
        </is>
      </c>
      <c r="E82" s="18" t="inlineStr">
        <is>
          <t>F. Duarte</t>
        </is>
      </c>
      <c r="F82" s="20" t="n">
        <v>37900</v>
      </c>
      <c r="G82" s="34" t="inlineStr">
        <is>
          <t>Partner-sourced</t>
        </is>
      </c>
    </row>
    <row r="83">
      <c r="A83" s="39" t="inlineStr">
        <is>
          <t>2024-09-25</t>
        </is>
      </c>
      <c r="B83" s="18" t="inlineStr">
        <is>
          <t>LATAM</t>
        </is>
      </c>
      <c r="C83" s="18" t="inlineStr">
        <is>
          <t>Signal Core</t>
        </is>
      </c>
      <c r="D83" s="18" t="inlineStr">
        <is>
          <t>Enterprise</t>
        </is>
      </c>
      <c r="E83" s="18" t="inlineStr">
        <is>
          <t>A. Okafor</t>
        </is>
      </c>
      <c r="F83" s="20" t="n">
        <v>23200</v>
      </c>
      <c r="G83" s="34" t="inlineStr">
        <is>
          <t>Renewal uplift 7%</t>
        </is>
      </c>
    </row>
    <row r="84">
      <c r="A84" s="39" t="inlineStr">
        <is>
          <t>2024-09-02</t>
        </is>
      </c>
      <c r="B84" s="18" t="inlineStr">
        <is>
          <t>LATAM</t>
        </is>
      </c>
      <c r="C84" s="18" t="inlineStr">
        <is>
          <t>Signal Core</t>
        </is>
      </c>
      <c r="D84" s="18" t="inlineStr">
        <is>
          <t>SMB</t>
        </is>
      </c>
      <c r="E84" s="18" t="inlineStr">
        <is>
          <t>K. Sørensen</t>
        </is>
      </c>
      <c r="F84" s="20" t="n">
        <v>22900</v>
      </c>
      <c r="G84" s="34" t="inlineStr">
        <is>
          <t>Pilot converted</t>
        </is>
      </c>
    </row>
    <row r="85">
      <c r="A85" s="39" t="inlineStr">
        <is>
          <t>2024-09-09</t>
        </is>
      </c>
      <c r="B85" s="18" t="inlineStr">
        <is>
          <t>APAC</t>
        </is>
      </c>
      <c r="C85" s="18" t="inlineStr">
        <is>
          <t>Embedded Reports</t>
        </is>
      </c>
      <c r="D85" s="18" t="inlineStr">
        <is>
          <t>Enterprise</t>
        </is>
      </c>
      <c r="E85" s="18" t="inlineStr">
        <is>
          <t>G. Halloran</t>
        </is>
      </c>
      <c r="F85" s="20" t="n">
        <v>67700</v>
      </c>
      <c r="G85" s="34" t="inlineStr">
        <is>
          <t>Co-term with parent</t>
        </is>
      </c>
    </row>
    <row r="86">
      <c r="A86" s="39" t="inlineStr">
        <is>
          <t>2024-09-16</t>
        </is>
      </c>
      <c r="B86" s="18" t="inlineStr">
        <is>
          <t>AMER East</t>
        </is>
      </c>
      <c r="C86" s="18" t="inlineStr">
        <is>
          <t>Warehouse Connect</t>
        </is>
      </c>
      <c r="D86" s="18" t="inlineStr">
        <is>
          <t>SMB</t>
        </is>
      </c>
      <c r="E86" s="18" t="inlineStr">
        <is>
          <t>D. Chatterjee</t>
        </is>
      </c>
      <c r="F86" s="20" t="n">
        <v>39200</v>
      </c>
      <c r="G86" s="34" t="inlineStr">
        <is>
          <t>Competitive displacement</t>
        </is>
      </c>
    </row>
    <row r="87">
      <c r="A87" s="39" t="inlineStr">
        <is>
          <t>2024-09-23</t>
        </is>
      </c>
      <c r="B87" s="18" t="inlineStr">
        <is>
          <t>EMEA</t>
        </is>
      </c>
      <c r="C87" s="18" t="inlineStr">
        <is>
          <t>Signal Pro</t>
        </is>
      </c>
      <c r="D87" s="18" t="inlineStr">
        <is>
          <t>Enterprise</t>
        </is>
      </c>
      <c r="E87" s="18" t="inlineStr">
        <is>
          <t>C. Marín</t>
        </is>
      </c>
      <c r="F87" s="20" t="n">
        <v>38200</v>
      </c>
      <c r="G87" s="34" t="inlineStr">
        <is>
          <t>Renewal uplift 7%</t>
        </is>
      </c>
    </row>
    <row r="88">
      <c r="A88" s="39" t="inlineStr">
        <is>
          <t>2024-09-30</t>
        </is>
      </c>
      <c r="B88" s="18" t="inlineStr">
        <is>
          <t>APAC</t>
        </is>
      </c>
      <c r="C88" s="18" t="inlineStr">
        <is>
          <t>Signal Pro</t>
        </is>
      </c>
      <c r="D88" s="18" t="inlineStr">
        <is>
          <t>SMB</t>
        </is>
      </c>
      <c r="E88" s="18" t="inlineStr">
        <is>
          <t>E. Nakamura</t>
        </is>
      </c>
      <c r="F88" s="20" t="n">
        <v>52600</v>
      </c>
      <c r="G88" s="34" t="inlineStr">
        <is>
          <t>Ramped deal, year one</t>
        </is>
      </c>
    </row>
    <row r="89">
      <c r="A89" s="39" t="inlineStr">
        <is>
          <t>2024-09-07</t>
        </is>
      </c>
      <c r="B89" s="18" t="inlineStr">
        <is>
          <t>APAC</t>
        </is>
      </c>
      <c r="C89" s="18" t="inlineStr">
        <is>
          <t>Warehouse Connect</t>
        </is>
      </c>
      <c r="D89" s="18" t="inlineStr">
        <is>
          <t>Mid-market</t>
        </is>
      </c>
      <c r="E89" s="18" t="inlineStr">
        <is>
          <t>A. Okafor</t>
        </is>
      </c>
      <c r="F89" s="20" t="n">
        <v>103200</v>
      </c>
      <c r="G89" s="34" t="inlineStr">
        <is>
          <t>Competitive displacement</t>
        </is>
      </c>
    </row>
    <row r="90">
      <c r="A90" s="39" t="inlineStr">
        <is>
          <t>2024-09-14</t>
        </is>
      </c>
      <c r="B90" s="18" t="inlineStr">
        <is>
          <t>EMEA</t>
        </is>
      </c>
      <c r="C90" s="18" t="inlineStr">
        <is>
          <t>Warehouse Connect</t>
        </is>
      </c>
      <c r="D90" s="18" t="inlineStr">
        <is>
          <t>Mid-market</t>
        </is>
      </c>
      <c r="E90" s="18" t="inlineStr">
        <is>
          <t>B. Lindqvist</t>
        </is>
      </c>
      <c r="F90" s="20" t="n">
        <v>123300</v>
      </c>
      <c r="G90" s="34" t="inlineStr">
        <is>
          <t>Pilot converted</t>
        </is>
      </c>
    </row>
    <row r="91">
      <c r="A91" s="39" t="inlineStr">
        <is>
          <t>2024-09-21</t>
        </is>
      </c>
      <c r="B91" s="18" t="inlineStr">
        <is>
          <t>APAC</t>
        </is>
      </c>
      <c r="C91" s="18" t="inlineStr">
        <is>
          <t>Alerts add-on</t>
        </is>
      </c>
      <c r="D91" s="18" t="inlineStr">
        <is>
          <t>Enterprise</t>
        </is>
      </c>
      <c r="E91" s="18" t="inlineStr">
        <is>
          <t>K. Sørensen</t>
        </is>
      </c>
      <c r="F91" s="20" t="n">
        <v>51000</v>
      </c>
      <c r="G91" s="34" t="inlineStr">
        <is>
          <t>Competitive displacement</t>
        </is>
      </c>
    </row>
    <row r="92">
      <c r="A92" s="39" t="inlineStr">
        <is>
          <t>2024-09-28</t>
        </is>
      </c>
      <c r="B92" s="18" t="inlineStr">
        <is>
          <t>LATAM</t>
        </is>
      </c>
      <c r="C92" s="18" t="inlineStr">
        <is>
          <t>Signal Core</t>
        </is>
      </c>
      <c r="D92" s="18" t="inlineStr">
        <is>
          <t>SMB</t>
        </is>
      </c>
      <c r="E92" s="18" t="inlineStr">
        <is>
          <t>F. Duarte</t>
        </is>
      </c>
      <c r="F92" s="20" t="n">
        <v>93800</v>
      </c>
      <c r="G92" s="34" t="inlineStr">
        <is>
          <t>Competitive displacement</t>
        </is>
      </c>
    </row>
    <row r="93">
      <c r="A93" s="39" t="inlineStr">
        <is>
          <t>2024-09-05</t>
        </is>
      </c>
      <c r="B93" s="18" t="inlineStr">
        <is>
          <t>EMEA</t>
        </is>
      </c>
      <c r="C93" s="18" t="inlineStr">
        <is>
          <t>Signal Pro</t>
        </is>
      </c>
      <c r="D93" s="18" t="inlineStr">
        <is>
          <t>Mid-market</t>
        </is>
      </c>
      <c r="E93" s="18" t="inlineStr">
        <is>
          <t>B. Lindqvist</t>
        </is>
      </c>
      <c r="F93" s="20" t="n">
        <v>53400</v>
      </c>
      <c r="G93" s="34" t="inlineStr">
        <is>
          <t>Standard list price</t>
        </is>
      </c>
    </row>
    <row r="94">
      <c r="A94" s="39" t="inlineStr">
        <is>
          <t>2024-09-12</t>
        </is>
      </c>
      <c r="B94" s="18" t="inlineStr">
        <is>
          <t>EMEA</t>
        </is>
      </c>
      <c r="C94" s="18" t="inlineStr">
        <is>
          <t>Signal Core</t>
        </is>
      </c>
      <c r="D94" s="18" t="inlineStr">
        <is>
          <t>Enterprise</t>
        </is>
      </c>
      <c r="E94" s="18" t="inlineStr">
        <is>
          <t>D. Chatterjee</t>
        </is>
      </c>
      <c r="F94" s="20" t="n">
        <v>208800</v>
      </c>
      <c r="G94" s="34" t="inlineStr">
        <is>
          <t>Renewal uplift 7%</t>
        </is>
      </c>
    </row>
    <row r="95">
      <c r="A95" s="39" t="inlineStr">
        <is>
          <t>2024-09-19</t>
        </is>
      </c>
      <c r="B95" s="18" t="inlineStr">
        <is>
          <t>LATAM</t>
        </is>
      </c>
      <c r="C95" s="18" t="inlineStr">
        <is>
          <t>Signal Core</t>
        </is>
      </c>
      <c r="D95" s="18" t="inlineStr">
        <is>
          <t>SMB</t>
        </is>
      </c>
      <c r="E95" s="18" t="inlineStr">
        <is>
          <t>K. Sørensen</t>
        </is>
      </c>
      <c r="F95" s="20" t="n">
        <v>18900</v>
      </c>
      <c r="G95" s="34" t="inlineStr">
        <is>
          <t>Ramped deal, year one</t>
        </is>
      </c>
    </row>
    <row r="96">
      <c r="A96" s="39" t="inlineStr">
        <is>
          <t>2024-09-26</t>
        </is>
      </c>
      <c r="B96" s="18" t="inlineStr">
        <is>
          <t>APAC</t>
        </is>
      </c>
      <c r="C96" s="18" t="inlineStr">
        <is>
          <t>Embedded Reports</t>
        </is>
      </c>
      <c r="D96" s="18" t="inlineStr">
        <is>
          <t>SMB</t>
        </is>
      </c>
      <c r="E96" s="18" t="inlineStr">
        <is>
          <t>J. Adeyemi</t>
        </is>
      </c>
      <c r="F96" s="20" t="n">
        <v>38400</v>
      </c>
      <c r="G96" s="34" t="inlineStr">
        <is>
          <t>Ramped deal, year one</t>
        </is>
      </c>
    </row>
    <row r="97">
      <c r="A97" s="39" t="inlineStr">
        <is>
          <t>2024-09-03</t>
        </is>
      </c>
      <c r="B97" s="18" t="inlineStr">
        <is>
          <t>AMER East</t>
        </is>
      </c>
      <c r="C97" s="18" t="inlineStr">
        <is>
          <t>Signal Pro</t>
        </is>
      </c>
      <c r="D97" s="18" t="inlineStr">
        <is>
          <t>SMB</t>
        </is>
      </c>
      <c r="E97" s="18" t="inlineStr">
        <is>
          <t>K. Sørensen</t>
        </is>
      </c>
      <c r="F97" s="20" t="n">
        <v>15000</v>
      </c>
      <c r="G97" s="34" t="inlineStr">
        <is>
          <t>Ramped deal, year one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2024-10-31</t>
        </is>
      </c>
      <c r="B2" s="18" t="inlineStr">
        <is>
          <t>LATAM</t>
        </is>
      </c>
      <c r="C2" s="18" t="inlineStr">
        <is>
          <t>Embedded Reports</t>
        </is>
      </c>
      <c r="D2" s="18" t="inlineStr">
        <is>
          <t>Mid-market</t>
        </is>
      </c>
      <c r="E2" s="18" t="inlineStr">
        <is>
          <t>E. Nakamura</t>
        </is>
      </c>
      <c r="F2" s="20" t="n">
        <v>67200</v>
      </c>
      <c r="G2" s="34" t="inlineStr">
        <is>
          <t>Rebate carried from legacy 10% promo</t>
        </is>
      </c>
    </row>
    <row r="3">
      <c r="A3" s="39" t="inlineStr">
        <is>
          <t>2024-10-07</t>
        </is>
      </c>
      <c r="B3" s="18" t="inlineStr">
        <is>
          <t>AMER West</t>
        </is>
      </c>
      <c r="C3" s="18" t="inlineStr">
        <is>
          <t>Embedded Reports</t>
        </is>
      </c>
      <c r="D3" s="18" t="inlineStr">
        <is>
          <t>SMB</t>
        </is>
      </c>
      <c r="E3" s="18" t="inlineStr">
        <is>
          <t>H. Vasquez</t>
        </is>
      </c>
      <c r="F3" s="20" t="n">
        <v>220800</v>
      </c>
      <c r="G3" s="34" t="inlineStr">
        <is>
          <t>Multi-year prepay</t>
        </is>
      </c>
    </row>
    <row r="4">
      <c r="A4" s="39" t="inlineStr">
        <is>
          <t>2024-10-14</t>
        </is>
      </c>
      <c r="B4" s="18" t="inlineStr">
        <is>
          <t>AMER West</t>
        </is>
      </c>
      <c r="C4" s="18" t="inlineStr">
        <is>
          <t>Embedded Reports</t>
        </is>
      </c>
      <c r="D4" s="18" t="inlineStr">
        <is>
          <t>Mid-market</t>
        </is>
      </c>
      <c r="E4" s="18" t="inlineStr">
        <is>
          <t>G. Halloran</t>
        </is>
      </c>
      <c r="F4" s="20" t="n">
        <v>140400</v>
      </c>
      <c r="G4" s="34" t="inlineStr">
        <is>
          <t>Co-term with parent</t>
        </is>
      </c>
    </row>
    <row r="5">
      <c r="A5" s="39" t="inlineStr">
        <is>
          <t>2024-10-21</t>
        </is>
      </c>
      <c r="B5" s="18" t="inlineStr">
        <is>
          <t>APAC</t>
        </is>
      </c>
      <c r="C5" s="18" t="inlineStr">
        <is>
          <t>Alerts add-on</t>
        </is>
      </c>
      <c r="D5" s="18" t="inlineStr">
        <is>
          <t>Mid-market</t>
        </is>
      </c>
      <c r="E5" s="18" t="inlineStr">
        <is>
          <t>G. Halloran</t>
        </is>
      </c>
      <c r="F5" s="20" t="n">
        <v>43100</v>
      </c>
      <c r="G5" s="34" t="inlineStr">
        <is>
          <t>Standard list price</t>
        </is>
      </c>
    </row>
    <row r="6">
      <c r="A6" s="39" t="inlineStr">
        <is>
          <t>2024-10-28</t>
        </is>
      </c>
      <c r="B6" s="18" t="inlineStr">
        <is>
          <t>AMER East</t>
        </is>
      </c>
      <c r="C6" s="18" t="inlineStr">
        <is>
          <t>Alerts add-on</t>
        </is>
      </c>
      <c r="D6" s="18" t="inlineStr">
        <is>
          <t>Enterprise</t>
        </is>
      </c>
      <c r="E6" s="18" t="inlineStr">
        <is>
          <t>A. Okafor</t>
        </is>
      </c>
      <c r="F6" s="20" t="n">
        <v>57500</v>
      </c>
      <c r="G6" s="34" t="inlineStr">
        <is>
          <t>Renewal uplift 7%</t>
        </is>
      </c>
    </row>
    <row r="7">
      <c r="A7" s="39" t="inlineStr">
        <is>
          <t>2024-10-04</t>
        </is>
      </c>
      <c r="B7" s="18" t="inlineStr">
        <is>
          <t>LATAM</t>
        </is>
      </c>
      <c r="C7" s="18" t="inlineStr">
        <is>
          <t>Signal Core</t>
        </is>
      </c>
      <c r="D7" s="18" t="inlineStr">
        <is>
          <t>Enterprise</t>
        </is>
      </c>
      <c r="E7" s="18" t="inlineStr">
        <is>
          <t>E. Nakamura</t>
        </is>
      </c>
      <c r="F7" s="20" t="n">
        <v>54600</v>
      </c>
      <c r="G7" s="34" t="inlineStr">
        <is>
          <t>Multi-year prepay</t>
        </is>
      </c>
    </row>
    <row r="8">
      <c r="A8" s="39" t="inlineStr">
        <is>
          <t>2024-10-11</t>
        </is>
      </c>
      <c r="B8" s="18" t="inlineStr">
        <is>
          <t>APAC</t>
        </is>
      </c>
      <c r="C8" s="18" t="inlineStr">
        <is>
          <t>Alerts add-on</t>
        </is>
      </c>
      <c r="D8" s="18" t="inlineStr">
        <is>
          <t>SMB</t>
        </is>
      </c>
      <c r="E8" s="18" t="inlineStr">
        <is>
          <t>E. Nakamura</t>
        </is>
      </c>
      <c r="F8" s="20" t="n">
        <v>61800</v>
      </c>
      <c r="G8" s="34" t="inlineStr">
        <is>
          <t>Competitive displacement</t>
        </is>
      </c>
    </row>
    <row r="9">
      <c r="A9" s="39" t="inlineStr">
        <is>
          <t>2024-10-18</t>
        </is>
      </c>
      <c r="B9" s="18" t="inlineStr">
        <is>
          <t>AMER East</t>
        </is>
      </c>
      <c r="C9" s="18" t="inlineStr">
        <is>
          <t>Warehouse Connect</t>
        </is>
      </c>
      <c r="D9" s="18" t="inlineStr">
        <is>
          <t>SMB</t>
        </is>
      </c>
      <c r="E9" s="18" t="inlineStr">
        <is>
          <t>K. Sørensen</t>
        </is>
      </c>
      <c r="F9" s="20" t="n">
        <v>20400</v>
      </c>
      <c r="G9" s="34" t="inlineStr">
        <is>
          <t>Competitive displacement</t>
        </is>
      </c>
    </row>
    <row r="10">
      <c r="A10" s="39" t="inlineStr">
        <is>
          <t>2024-10-25</t>
        </is>
      </c>
      <c r="B10" s="18" t="inlineStr">
        <is>
          <t>AMER East</t>
        </is>
      </c>
      <c r="C10" s="18" t="inlineStr">
        <is>
          <t>Warehouse Connect</t>
        </is>
      </c>
      <c r="D10" s="18" t="inlineStr">
        <is>
          <t>Enterprise</t>
        </is>
      </c>
      <c r="E10" s="18" t="inlineStr">
        <is>
          <t>J. Adeyemi</t>
        </is>
      </c>
      <c r="F10" s="20" t="n">
        <v>10000</v>
      </c>
      <c r="G10" s="34" t="inlineStr">
        <is>
          <t>Multi-year prepay</t>
        </is>
      </c>
    </row>
    <row r="11">
      <c r="A11" s="39" t="inlineStr">
        <is>
          <t>2024-10-01</t>
        </is>
      </c>
      <c r="B11" s="18" t="inlineStr">
        <is>
          <t>AMER East</t>
        </is>
      </c>
      <c r="C11" s="18" t="inlineStr">
        <is>
          <t>Embedded Reports</t>
        </is>
      </c>
      <c r="D11" s="18" t="inlineStr">
        <is>
          <t>SMB</t>
        </is>
      </c>
      <c r="E11" s="18" t="inlineStr">
        <is>
          <t>K. Sørensen</t>
        </is>
      </c>
      <c r="F11" s="20" t="n">
        <v>64400</v>
      </c>
      <c r="G11" s="34" t="inlineStr">
        <is>
          <t>Pilot converted</t>
        </is>
      </c>
    </row>
    <row r="12">
      <c r="A12" s="39" t="inlineStr">
        <is>
          <t>2024-10-08</t>
        </is>
      </c>
      <c r="B12" s="18" t="inlineStr">
        <is>
          <t>APAC</t>
        </is>
      </c>
      <c r="C12" s="18" t="inlineStr">
        <is>
          <t>Signal Core</t>
        </is>
      </c>
      <c r="D12" s="18" t="inlineStr">
        <is>
          <t>SMB</t>
        </is>
      </c>
      <c r="E12" s="18" t="inlineStr">
        <is>
          <t>D. Chatterjee</t>
        </is>
      </c>
      <c r="F12" s="20" t="n">
        <v>135200</v>
      </c>
      <c r="G12" s="34" t="inlineStr">
        <is>
          <t>Partner-sourced</t>
        </is>
      </c>
    </row>
    <row r="13">
      <c r="A13" s="39" t="inlineStr">
        <is>
          <t>2024-10-15</t>
        </is>
      </c>
      <c r="B13" s="18" t="inlineStr">
        <is>
          <t>EMEA</t>
        </is>
      </c>
      <c r="C13" s="18" t="inlineStr">
        <is>
          <t>Alerts add-on</t>
        </is>
      </c>
      <c r="D13" s="18" t="inlineStr">
        <is>
          <t>SMB</t>
        </is>
      </c>
      <c r="E13" s="18" t="inlineStr">
        <is>
          <t>G. Halloran</t>
        </is>
      </c>
      <c r="F13" s="20" t="n">
        <v>73200</v>
      </c>
      <c r="G13" s="34" t="inlineStr">
        <is>
          <t>Multi-year prepay</t>
        </is>
      </c>
    </row>
    <row r="14">
      <c r="A14" s="39" t="inlineStr">
        <is>
          <t>2024-10-22</t>
        </is>
      </c>
      <c r="B14" s="18" t="inlineStr">
        <is>
          <t>AMER East</t>
        </is>
      </c>
      <c r="C14" s="18" t="inlineStr">
        <is>
          <t>Signal Core</t>
        </is>
      </c>
      <c r="D14" s="18" t="inlineStr">
        <is>
          <t>Mid-market</t>
        </is>
      </c>
      <c r="E14" s="18" t="inlineStr">
        <is>
          <t>E. Nakamura</t>
        </is>
      </c>
      <c r="F14" s="20" t="n">
        <v>132300</v>
      </c>
      <c r="G14" s="34" t="inlineStr">
        <is>
          <t>Renewal uplift 7%</t>
        </is>
      </c>
    </row>
    <row r="15">
      <c r="A15" s="39" t="inlineStr">
        <is>
          <t>2024-10-29</t>
        </is>
      </c>
      <c r="B15" s="18" t="inlineStr">
        <is>
          <t>APAC</t>
        </is>
      </c>
      <c r="C15" s="18" t="inlineStr">
        <is>
          <t>Alerts add-on</t>
        </is>
      </c>
      <c r="D15" s="18" t="inlineStr">
        <is>
          <t>Mid-market</t>
        </is>
      </c>
      <c r="E15" s="18" t="inlineStr">
        <is>
          <t>J. Adeyemi</t>
        </is>
      </c>
      <c r="F15" s="20" t="n">
        <v>41200</v>
      </c>
      <c r="G15" s="34" t="inlineStr">
        <is>
          <t>Partner-sourced</t>
        </is>
      </c>
    </row>
    <row r="16">
      <c r="A16" s="39" t="inlineStr">
        <is>
          <t>2024-10-05</t>
        </is>
      </c>
      <c r="B16" s="18" t="inlineStr">
        <is>
          <t>AMER East</t>
        </is>
      </c>
      <c r="C16" s="18" t="inlineStr">
        <is>
          <t>Alerts add-on</t>
        </is>
      </c>
      <c r="D16" s="18" t="inlineStr">
        <is>
          <t>SMB</t>
        </is>
      </c>
      <c r="E16" s="18" t="inlineStr">
        <is>
          <t>D. Chatterjee</t>
        </is>
      </c>
      <c r="F16" s="20" t="n">
        <v>61500</v>
      </c>
      <c r="G16" s="34" t="inlineStr">
        <is>
          <t>Multi-year prepay</t>
        </is>
      </c>
    </row>
    <row r="17">
      <c r="A17" s="39" t="inlineStr">
        <is>
          <t>2024-10-12</t>
        </is>
      </c>
      <c r="B17" s="18" t="inlineStr">
        <is>
          <t>APAC</t>
        </is>
      </c>
      <c r="C17" s="18" t="inlineStr">
        <is>
          <t>Signal Pro</t>
        </is>
      </c>
      <c r="D17" s="18" t="inlineStr">
        <is>
          <t>SMB</t>
        </is>
      </c>
      <c r="E17" s="18" t="inlineStr">
        <is>
          <t>B. Lindqvist</t>
        </is>
      </c>
      <c r="F17" s="20" t="n">
        <v>60200</v>
      </c>
      <c r="G17" s="34" t="inlineStr">
        <is>
          <t>Multi-year prepay</t>
        </is>
      </c>
    </row>
    <row r="18">
      <c r="A18" s="39" t="inlineStr">
        <is>
          <t>2024-10-19</t>
        </is>
      </c>
      <c r="B18" s="18" t="inlineStr">
        <is>
          <t>EMEA</t>
        </is>
      </c>
      <c r="C18" s="18" t="inlineStr">
        <is>
          <t>Embedded Reports</t>
        </is>
      </c>
      <c r="D18" s="18" t="inlineStr">
        <is>
          <t>Mid-market</t>
        </is>
      </c>
      <c r="E18" s="18" t="inlineStr">
        <is>
          <t>K. Sørensen</t>
        </is>
      </c>
      <c r="F18" s="20" t="n">
        <v>95400</v>
      </c>
      <c r="G18" s="34" t="inlineStr">
        <is>
          <t>Ramped deal, year one</t>
        </is>
      </c>
    </row>
    <row r="19">
      <c r="A19" s="39" t="inlineStr">
        <is>
          <t>2024-10-26</t>
        </is>
      </c>
      <c r="B19" s="18" t="inlineStr">
        <is>
          <t>EMEA</t>
        </is>
      </c>
      <c r="C19" s="18" t="inlineStr">
        <is>
          <t>Signal Core</t>
        </is>
      </c>
      <c r="D19" s="18" t="inlineStr">
        <is>
          <t>Enterprise</t>
        </is>
      </c>
      <c r="E19" s="18" t="inlineStr">
        <is>
          <t>J. Adeyemi</t>
        </is>
      </c>
      <c r="F19" s="20" t="n">
        <v>39300</v>
      </c>
      <c r="G19" s="34" t="inlineStr">
        <is>
          <t>Pilot converted</t>
        </is>
      </c>
    </row>
    <row r="20">
      <c r="A20" s="39" t="inlineStr">
        <is>
          <t>2024-10-02</t>
        </is>
      </c>
      <c r="B20" s="18" t="inlineStr">
        <is>
          <t>LATAM</t>
        </is>
      </c>
      <c r="C20" s="18" t="inlineStr">
        <is>
          <t>Signal Pro</t>
        </is>
      </c>
      <c r="D20" s="18" t="inlineStr">
        <is>
          <t>Enterprise</t>
        </is>
      </c>
      <c r="E20" s="18" t="inlineStr">
        <is>
          <t>E. Nakamura</t>
        </is>
      </c>
      <c r="F20" s="20" t="n">
        <v>57500</v>
      </c>
      <c r="G20" s="34" t="inlineStr">
        <is>
          <t>Standard list price</t>
        </is>
      </c>
    </row>
    <row r="21">
      <c r="A21" s="39" t="inlineStr">
        <is>
          <t>2024-10-09</t>
        </is>
      </c>
      <c r="B21" s="18" t="inlineStr">
        <is>
          <t>APAC</t>
        </is>
      </c>
      <c r="C21" s="18" t="inlineStr">
        <is>
          <t>Warehouse Connect</t>
        </is>
      </c>
      <c r="D21" s="18" t="inlineStr">
        <is>
          <t>Enterprise</t>
        </is>
      </c>
      <c r="E21" s="18" t="inlineStr">
        <is>
          <t>G. Halloran</t>
        </is>
      </c>
      <c r="F21" s="20" t="n">
        <v>207000</v>
      </c>
      <c r="G21" s="34" t="inlineStr">
        <is>
          <t>Co-term with parent</t>
        </is>
      </c>
    </row>
    <row r="22">
      <c r="A22" s="39" t="inlineStr">
        <is>
          <t>2024-10-16</t>
        </is>
      </c>
      <c r="B22" s="18" t="inlineStr">
        <is>
          <t>AMER East</t>
        </is>
      </c>
      <c r="C22" s="18" t="inlineStr">
        <is>
          <t>Warehouse Connect</t>
        </is>
      </c>
      <c r="D22" s="18" t="inlineStr">
        <is>
          <t>Mid-market</t>
        </is>
      </c>
      <c r="E22" s="18" t="inlineStr">
        <is>
          <t>C. Marín</t>
        </is>
      </c>
      <c r="F22" s="20" t="n">
        <v>37000</v>
      </c>
      <c r="G22" s="34" t="inlineStr">
        <is>
          <t>Partner-sourced</t>
        </is>
      </c>
    </row>
    <row r="23">
      <c r="A23" s="39" t="inlineStr">
        <is>
          <t>2024-10-23</t>
        </is>
      </c>
      <c r="B23" s="18" t="inlineStr">
        <is>
          <t>EMEA</t>
        </is>
      </c>
      <c r="C23" s="18" t="inlineStr">
        <is>
          <t>Signal Core</t>
        </is>
      </c>
      <c r="D23" s="18" t="inlineStr">
        <is>
          <t>SMB</t>
        </is>
      </c>
      <c r="E23" s="18" t="inlineStr">
        <is>
          <t>G. Halloran</t>
        </is>
      </c>
      <c r="F23" s="20" t="n">
        <v>25900</v>
      </c>
      <c r="G23" s="34" t="inlineStr">
        <is>
          <t>Pilot converted</t>
        </is>
      </c>
    </row>
    <row r="24">
      <c r="A24" s="39" t="inlineStr">
        <is>
          <t>2024-10-30</t>
        </is>
      </c>
      <c r="B24" s="18" t="inlineStr">
        <is>
          <t>EMEA</t>
        </is>
      </c>
      <c r="C24" s="18" t="inlineStr">
        <is>
          <t>Embedded Reports</t>
        </is>
      </c>
      <c r="D24" s="18" t="inlineStr">
        <is>
          <t>Enterprise</t>
        </is>
      </c>
      <c r="E24" s="18" t="inlineStr">
        <is>
          <t>J. Adeyemi</t>
        </is>
      </c>
      <c r="F24" s="20" t="n">
        <v>54900</v>
      </c>
      <c r="G24" s="34" t="inlineStr">
        <is>
          <t>Co-term with parent</t>
        </is>
      </c>
    </row>
    <row r="25">
      <c r="A25" s="39" t="inlineStr">
        <is>
          <t>2024-10-06</t>
        </is>
      </c>
      <c r="B25" s="18" t="inlineStr">
        <is>
          <t>LATAM</t>
        </is>
      </c>
      <c r="C25" s="18" t="inlineStr">
        <is>
          <t>Embedded Reports</t>
        </is>
      </c>
      <c r="D25" s="18" t="inlineStr">
        <is>
          <t>Enterprise</t>
        </is>
      </c>
      <c r="E25" s="18" t="inlineStr">
        <is>
          <t>B. Lindqvist</t>
        </is>
      </c>
      <c r="F25" s="20" t="n">
        <v>145200</v>
      </c>
      <c r="G25" s="34" t="inlineStr">
        <is>
          <t>Competitive displacement</t>
        </is>
      </c>
    </row>
    <row r="26">
      <c r="A26" s="39" t="inlineStr">
        <is>
          <t>2024-10-13</t>
        </is>
      </c>
      <c r="B26" s="18" t="inlineStr">
        <is>
          <t>EMEA</t>
        </is>
      </c>
      <c r="C26" s="18" t="inlineStr">
        <is>
          <t>Signal Pro</t>
        </is>
      </c>
      <c r="D26" s="18" t="inlineStr">
        <is>
          <t>SMB</t>
        </is>
      </c>
      <c r="E26" s="18" t="inlineStr">
        <is>
          <t>D. Chatterjee</t>
        </is>
      </c>
      <c r="F26" s="20" t="n">
        <v>63500</v>
      </c>
      <c r="G26" s="34" t="inlineStr">
        <is>
          <t>Renewal uplift 7%</t>
        </is>
      </c>
    </row>
    <row r="27">
      <c r="A27" s="39" t="inlineStr">
        <is>
          <t>2024-10-20</t>
        </is>
      </c>
      <c r="B27" s="18" t="inlineStr">
        <is>
          <t>AMER West</t>
        </is>
      </c>
      <c r="C27" s="18" t="inlineStr">
        <is>
          <t>Signal Pro</t>
        </is>
      </c>
      <c r="D27" s="18" t="inlineStr">
        <is>
          <t>Mid-market</t>
        </is>
      </c>
      <c r="E27" s="18" t="inlineStr">
        <is>
          <t>B. Lindqvist</t>
        </is>
      </c>
      <c r="F27" s="20" t="n">
        <v>147000</v>
      </c>
      <c r="G27" s="34" t="inlineStr">
        <is>
          <t>Standard list price</t>
        </is>
      </c>
    </row>
    <row r="28">
      <c r="A28" s="39" t="inlineStr">
        <is>
          <t>2024-10-27</t>
        </is>
      </c>
      <c r="B28" s="18" t="inlineStr">
        <is>
          <t>AMER East</t>
        </is>
      </c>
      <c r="C28" s="18" t="inlineStr">
        <is>
          <t>Warehouse Connect</t>
        </is>
      </c>
      <c r="D28" s="18" t="inlineStr">
        <is>
          <t>Mid-market</t>
        </is>
      </c>
      <c r="E28" s="18" t="inlineStr">
        <is>
          <t>G. Halloran</t>
        </is>
      </c>
      <c r="F28" s="20" t="n">
        <v>174900</v>
      </c>
      <c r="G28" s="34" t="inlineStr">
        <is>
          <t>Co-term with parent</t>
        </is>
      </c>
    </row>
    <row r="29">
      <c r="A29" s="39" t="inlineStr">
        <is>
          <t>2024-10-03</t>
        </is>
      </c>
      <c r="B29" s="18" t="inlineStr">
        <is>
          <t>APAC</t>
        </is>
      </c>
      <c r="C29" s="18" t="inlineStr">
        <is>
          <t>Signal Core</t>
        </is>
      </c>
      <c r="D29" s="18" t="inlineStr">
        <is>
          <t>Mid-market</t>
        </is>
      </c>
      <c r="E29" s="18" t="inlineStr">
        <is>
          <t>F. Duarte</t>
        </is>
      </c>
      <c r="F29" s="20" t="n">
        <v>35700</v>
      </c>
      <c r="G29" s="34" t="inlineStr">
        <is>
          <t>Standard list price</t>
        </is>
      </c>
    </row>
    <row r="30">
      <c r="A30" s="39" t="inlineStr">
        <is>
          <t>2024-10-10</t>
        </is>
      </c>
      <c r="B30" s="18" t="inlineStr">
        <is>
          <t>EMEA</t>
        </is>
      </c>
      <c r="C30" s="18" t="inlineStr">
        <is>
          <t>Warehouse Connect</t>
        </is>
      </c>
      <c r="D30" s="18" t="inlineStr">
        <is>
          <t>Enterprise</t>
        </is>
      </c>
      <c r="E30" s="18" t="inlineStr">
        <is>
          <t>H. Vasquez</t>
        </is>
      </c>
      <c r="F30" s="20" t="n">
        <v>54300</v>
      </c>
      <c r="G30" s="34" t="inlineStr">
        <is>
          <t>Partner-sourced</t>
        </is>
      </c>
    </row>
    <row r="31">
      <c r="A31" s="39" t="inlineStr">
        <is>
          <t>2024-10-17</t>
        </is>
      </c>
      <c r="B31" s="18" t="inlineStr">
        <is>
          <t>APAC</t>
        </is>
      </c>
      <c r="C31" s="18" t="inlineStr">
        <is>
          <t>Warehouse Connect</t>
        </is>
      </c>
      <c r="D31" s="18" t="inlineStr">
        <is>
          <t>Mid-market</t>
        </is>
      </c>
      <c r="E31" s="18" t="inlineStr">
        <is>
          <t>K. Sørensen</t>
        </is>
      </c>
      <c r="F31" s="20" t="n">
        <v>24100</v>
      </c>
      <c r="G31" s="34" t="inlineStr">
        <is>
          <t>Competitive displacement</t>
        </is>
      </c>
    </row>
    <row r="32">
      <c r="A32" s="39" t="inlineStr">
        <is>
          <t>2024-10-24</t>
        </is>
      </c>
      <c r="B32" s="18" t="inlineStr">
        <is>
          <t>AMER East</t>
        </is>
      </c>
      <c r="C32" s="18" t="inlineStr">
        <is>
          <t>Warehouse Connect</t>
        </is>
      </c>
      <c r="D32" s="18" t="inlineStr">
        <is>
          <t>SMB</t>
        </is>
      </c>
      <c r="E32" s="18" t="inlineStr">
        <is>
          <t>J. Adeyemi</t>
        </is>
      </c>
      <c r="F32" s="20" t="n">
        <v>47400</v>
      </c>
      <c r="G32" s="34" t="inlineStr">
        <is>
          <t>Renewal uplift 7%</t>
        </is>
      </c>
    </row>
    <row r="33">
      <c r="A33" s="39" t="inlineStr">
        <is>
          <t>2024-10-31</t>
        </is>
      </c>
      <c r="B33" s="18" t="inlineStr">
        <is>
          <t>LATAM</t>
        </is>
      </c>
      <c r="C33" s="18" t="inlineStr">
        <is>
          <t>Warehouse Connect</t>
        </is>
      </c>
      <c r="D33" s="18" t="inlineStr">
        <is>
          <t>Mid-market</t>
        </is>
      </c>
      <c r="E33" s="18" t="inlineStr">
        <is>
          <t>H. Vasquez</t>
        </is>
      </c>
      <c r="F33" s="20" t="n">
        <v>180300</v>
      </c>
      <c r="G33" s="34" t="inlineStr">
        <is>
          <t>Renewal uplift 7%</t>
        </is>
      </c>
    </row>
    <row r="34">
      <c r="A34" s="39" t="inlineStr">
        <is>
          <t>2024-10-07</t>
        </is>
      </c>
      <c r="B34" s="18" t="inlineStr">
        <is>
          <t>EMEA</t>
        </is>
      </c>
      <c r="C34" s="18" t="inlineStr">
        <is>
          <t>Embedded Reports</t>
        </is>
      </c>
      <c r="D34" s="18" t="inlineStr">
        <is>
          <t>Mid-market</t>
        </is>
      </c>
      <c r="E34" s="18" t="inlineStr">
        <is>
          <t>A. Okafor</t>
        </is>
      </c>
      <c r="F34" s="20" t="n">
        <v>64300</v>
      </c>
      <c r="G34" s="34" t="inlineStr">
        <is>
          <t>Pilot converted</t>
        </is>
      </c>
    </row>
    <row r="35">
      <c r="A35" s="39" t="inlineStr">
        <is>
          <t>2024-10-14</t>
        </is>
      </c>
      <c r="B35" s="18" t="inlineStr">
        <is>
          <t>LATAM</t>
        </is>
      </c>
      <c r="C35" s="18" t="inlineStr">
        <is>
          <t>Embedded Reports</t>
        </is>
      </c>
      <c r="D35" s="18" t="inlineStr">
        <is>
          <t>SMB</t>
        </is>
      </c>
      <c r="E35" s="18" t="inlineStr">
        <is>
          <t>H. Vasquez</t>
        </is>
      </c>
      <c r="F35" s="20" t="n">
        <v>60600</v>
      </c>
      <c r="G35" s="34" t="inlineStr">
        <is>
          <t>Partner-sourced</t>
        </is>
      </c>
    </row>
    <row r="36">
      <c r="A36" s="39" t="inlineStr">
        <is>
          <t>2024-10-21</t>
        </is>
      </c>
      <c r="B36" s="18" t="inlineStr">
        <is>
          <t>AMER West</t>
        </is>
      </c>
      <c r="C36" s="18" t="inlineStr">
        <is>
          <t>Embedded Reports</t>
        </is>
      </c>
      <c r="D36" s="18" t="inlineStr">
        <is>
          <t>Mid-market</t>
        </is>
      </c>
      <c r="E36" s="18" t="inlineStr">
        <is>
          <t>B. Lindqvist</t>
        </is>
      </c>
      <c r="F36" s="20" t="n">
        <v>101200</v>
      </c>
      <c r="G36" s="34" t="inlineStr">
        <is>
          <t>Competitive displacement</t>
        </is>
      </c>
    </row>
    <row r="37">
      <c r="A37" s="39" t="inlineStr">
        <is>
          <t>2024-10-28</t>
        </is>
      </c>
      <c r="B37" s="18" t="inlineStr">
        <is>
          <t>APAC</t>
        </is>
      </c>
      <c r="C37" s="18" t="inlineStr">
        <is>
          <t>Warehouse Connect</t>
        </is>
      </c>
      <c r="D37" s="18" t="inlineStr">
        <is>
          <t>Enterprise</t>
        </is>
      </c>
      <c r="E37" s="18" t="inlineStr">
        <is>
          <t>D. Chatterjee</t>
        </is>
      </c>
      <c r="F37" s="20" t="n">
        <v>26600</v>
      </c>
      <c r="G37" s="34" t="inlineStr">
        <is>
          <t>Renewal uplift 7%</t>
        </is>
      </c>
    </row>
    <row r="38">
      <c r="A38" s="39" t="inlineStr">
        <is>
          <t>2024-10-04</t>
        </is>
      </c>
      <c r="B38" s="18" t="inlineStr">
        <is>
          <t>AMER East</t>
        </is>
      </c>
      <c r="C38" s="18" t="inlineStr">
        <is>
          <t>Signal Core</t>
        </is>
      </c>
      <c r="D38" s="18" t="inlineStr">
        <is>
          <t>Mid-market</t>
        </is>
      </c>
      <c r="E38" s="18" t="inlineStr">
        <is>
          <t>G. Halloran</t>
        </is>
      </c>
      <c r="F38" s="20" t="n">
        <v>29200</v>
      </c>
      <c r="G38" s="34" t="inlineStr">
        <is>
          <t>Renewal uplift 7%</t>
        </is>
      </c>
    </row>
    <row r="39">
      <c r="A39" s="39" t="inlineStr">
        <is>
          <t>2024-10-11</t>
        </is>
      </c>
      <c r="B39" s="18" t="inlineStr">
        <is>
          <t>AMER West</t>
        </is>
      </c>
      <c r="C39" s="18" t="inlineStr">
        <is>
          <t>Alerts add-on</t>
        </is>
      </c>
      <c r="D39" s="18" t="inlineStr">
        <is>
          <t>Enterprise</t>
        </is>
      </c>
      <c r="E39" s="18" t="inlineStr">
        <is>
          <t>A. Okafor</t>
        </is>
      </c>
      <c r="F39" s="20" t="n">
        <v>40400</v>
      </c>
      <c r="G39" s="34" t="inlineStr">
        <is>
          <t>Partner-sourced</t>
        </is>
      </c>
    </row>
    <row r="40">
      <c r="A40" s="39" t="inlineStr">
        <is>
          <t>2024-10-18</t>
        </is>
      </c>
      <c r="B40" s="18" t="inlineStr">
        <is>
          <t>AMER West</t>
        </is>
      </c>
      <c r="C40" s="18" t="inlineStr">
        <is>
          <t>Alerts add-on</t>
        </is>
      </c>
      <c r="D40" s="18" t="inlineStr">
        <is>
          <t>SMB</t>
        </is>
      </c>
      <c r="E40" s="18" t="inlineStr">
        <is>
          <t>D. Chatterjee</t>
        </is>
      </c>
      <c r="F40" s="20" t="n">
        <v>27900</v>
      </c>
      <c r="G40" s="34" t="inlineStr">
        <is>
          <t>Partner-sourced</t>
        </is>
      </c>
    </row>
    <row r="41">
      <c r="A41" s="39" t="inlineStr">
        <is>
          <t>2024-10-25</t>
        </is>
      </c>
      <c r="B41" s="18" t="inlineStr">
        <is>
          <t>LATAM</t>
        </is>
      </c>
      <c r="C41" s="18" t="inlineStr">
        <is>
          <t>Signal Core</t>
        </is>
      </c>
      <c r="D41" s="18" t="inlineStr">
        <is>
          <t>SMB</t>
        </is>
      </c>
      <c r="E41" s="18" t="inlineStr">
        <is>
          <t>E. Nakamura</t>
        </is>
      </c>
      <c r="F41" s="20" t="n">
        <v>54800</v>
      </c>
      <c r="G41" s="34" t="inlineStr">
        <is>
          <t>Partner-sourced</t>
        </is>
      </c>
    </row>
    <row r="42">
      <c r="A42" s="39" t="inlineStr">
        <is>
          <t>2024-10-01</t>
        </is>
      </c>
      <c r="B42" s="18" t="inlineStr">
        <is>
          <t>LATAM</t>
        </is>
      </c>
      <c r="C42" s="18" t="inlineStr">
        <is>
          <t>Embedded Reports</t>
        </is>
      </c>
      <c r="D42" s="18" t="inlineStr">
        <is>
          <t>Mid-market</t>
        </is>
      </c>
      <c r="E42" s="18" t="inlineStr">
        <is>
          <t>A. Okafor</t>
        </is>
      </c>
      <c r="F42" s="20" t="n">
        <v>63800</v>
      </c>
      <c r="G42" s="34" t="inlineStr">
        <is>
          <t>Multi-year prepay</t>
        </is>
      </c>
    </row>
    <row r="43">
      <c r="A43" s="39" t="inlineStr">
        <is>
          <t>2024-10-08</t>
        </is>
      </c>
      <c r="B43" s="18" t="inlineStr">
        <is>
          <t>EMEA</t>
        </is>
      </c>
      <c r="C43" s="18" t="inlineStr">
        <is>
          <t>Embedded Reports</t>
        </is>
      </c>
      <c r="D43" s="18" t="inlineStr">
        <is>
          <t>Enterprise</t>
        </is>
      </c>
      <c r="E43" s="18" t="inlineStr">
        <is>
          <t>C. Marín</t>
        </is>
      </c>
      <c r="F43" s="20" t="n">
        <v>58200</v>
      </c>
      <c r="G43" s="34" t="inlineStr">
        <is>
          <t>Standard list price</t>
        </is>
      </c>
    </row>
    <row r="44">
      <c r="A44" s="39" t="inlineStr">
        <is>
          <t>2024-10-15</t>
        </is>
      </c>
      <c r="B44" s="18" t="inlineStr">
        <is>
          <t>AMER West</t>
        </is>
      </c>
      <c r="C44" s="18" t="inlineStr">
        <is>
          <t>Alerts add-on</t>
        </is>
      </c>
      <c r="D44" s="18" t="inlineStr">
        <is>
          <t>Enterprise</t>
        </is>
      </c>
      <c r="E44" s="18" t="inlineStr">
        <is>
          <t>D. Chatterjee</t>
        </is>
      </c>
      <c r="F44" s="20" t="n">
        <v>59100</v>
      </c>
      <c r="G44" s="34" t="inlineStr">
        <is>
          <t>Standard list price</t>
        </is>
      </c>
    </row>
    <row r="45">
      <c r="A45" s="39" t="inlineStr">
        <is>
          <t>2024-10-22</t>
        </is>
      </c>
      <c r="B45" s="18" t="inlineStr">
        <is>
          <t>APAC</t>
        </is>
      </c>
      <c r="C45" s="18" t="inlineStr">
        <is>
          <t>Alerts add-on</t>
        </is>
      </c>
      <c r="D45" s="18" t="inlineStr">
        <is>
          <t>Enterprise</t>
        </is>
      </c>
      <c r="E45" s="18" t="inlineStr">
        <is>
          <t>K. Sørensen</t>
        </is>
      </c>
      <c r="F45" s="20" t="n">
        <v>25300</v>
      </c>
      <c r="G45" s="34" t="inlineStr">
        <is>
          <t>Co-term with parent</t>
        </is>
      </c>
    </row>
    <row r="46">
      <c r="A46" s="39" t="inlineStr">
        <is>
          <t>2024-10-29</t>
        </is>
      </c>
      <c r="B46" s="18" t="inlineStr">
        <is>
          <t>APAC</t>
        </is>
      </c>
      <c r="C46" s="18" t="inlineStr">
        <is>
          <t>Embedded Reports</t>
        </is>
      </c>
      <c r="D46" s="18" t="inlineStr">
        <is>
          <t>SMB</t>
        </is>
      </c>
      <c r="E46" s="18" t="inlineStr">
        <is>
          <t>E. Nakamura</t>
        </is>
      </c>
      <c r="F46" s="20" t="n">
        <v>189600</v>
      </c>
      <c r="G46" s="34" t="inlineStr">
        <is>
          <t>Standard list price</t>
        </is>
      </c>
    </row>
    <row r="47">
      <c r="A47" s="39" t="inlineStr">
        <is>
          <t>2024-10-05</t>
        </is>
      </c>
      <c r="B47" s="18" t="inlineStr">
        <is>
          <t>APAC</t>
        </is>
      </c>
      <c r="C47" s="18" t="inlineStr">
        <is>
          <t>Embedded Reports</t>
        </is>
      </c>
      <c r="D47" s="18" t="inlineStr">
        <is>
          <t>SMB</t>
        </is>
      </c>
      <c r="E47" s="18" t="inlineStr">
        <is>
          <t>B. Lindqvist</t>
        </is>
      </c>
      <c r="F47" s="20" t="n">
        <v>48000</v>
      </c>
      <c r="G47" s="34" t="inlineStr">
        <is>
          <t>Multi-year prepay</t>
        </is>
      </c>
    </row>
    <row r="48">
      <c r="A48" s="39" t="inlineStr">
        <is>
          <t>2024-10-12</t>
        </is>
      </c>
      <c r="B48" s="18" t="inlineStr">
        <is>
          <t>APAC</t>
        </is>
      </c>
      <c r="C48" s="18" t="inlineStr">
        <is>
          <t>Alerts add-on</t>
        </is>
      </c>
      <c r="D48" s="18" t="inlineStr">
        <is>
          <t>Enterprise</t>
        </is>
      </c>
      <c r="E48" s="18" t="inlineStr">
        <is>
          <t>G. Halloran</t>
        </is>
      </c>
      <c r="F48" s="20" t="n">
        <v>225300</v>
      </c>
      <c r="G48" s="34" t="inlineStr">
        <is>
          <t>Multi-year prepay</t>
        </is>
      </c>
    </row>
    <row r="49">
      <c r="A49" s="39" t="inlineStr">
        <is>
          <t>2024-10-19</t>
        </is>
      </c>
      <c r="B49" s="18" t="inlineStr">
        <is>
          <t>APAC</t>
        </is>
      </c>
      <c r="C49" s="18" t="inlineStr">
        <is>
          <t>Warehouse Connect</t>
        </is>
      </c>
      <c r="D49" s="18" t="inlineStr">
        <is>
          <t>Enterprise</t>
        </is>
      </c>
      <c r="E49" s="18" t="inlineStr">
        <is>
          <t>J. Adeyemi</t>
        </is>
      </c>
      <c r="F49" s="20" t="n">
        <v>77200</v>
      </c>
      <c r="G49" s="34" t="inlineStr">
        <is>
          <t>Renewal uplift 7%</t>
        </is>
      </c>
    </row>
    <row r="50">
      <c r="A50" s="39" t="inlineStr">
        <is>
          <t>2024-10-26</t>
        </is>
      </c>
      <c r="B50" s="18" t="inlineStr">
        <is>
          <t>EMEA</t>
        </is>
      </c>
      <c r="C50" s="18" t="inlineStr">
        <is>
          <t>Alerts add-on</t>
        </is>
      </c>
      <c r="D50" s="18" t="inlineStr">
        <is>
          <t>Enterprise</t>
        </is>
      </c>
      <c r="E50" s="18" t="inlineStr">
        <is>
          <t>H. Vasquez</t>
        </is>
      </c>
      <c r="F50" s="20" t="n">
        <v>51800</v>
      </c>
      <c r="G50" s="34" t="inlineStr">
        <is>
          <t>Competitive displacement</t>
        </is>
      </c>
    </row>
    <row r="51">
      <c r="A51" s="39" t="inlineStr">
        <is>
          <t>2024-10-02</t>
        </is>
      </c>
      <c r="B51" s="18" t="inlineStr">
        <is>
          <t>APAC</t>
        </is>
      </c>
      <c r="C51" s="18" t="inlineStr">
        <is>
          <t>Signal Pro</t>
        </is>
      </c>
      <c r="D51" s="18" t="inlineStr">
        <is>
          <t>SMB</t>
        </is>
      </c>
      <c r="E51" s="18" t="inlineStr">
        <is>
          <t>J. Adeyemi</t>
        </is>
      </c>
      <c r="F51" s="20" t="n">
        <v>13100</v>
      </c>
      <c r="G51" s="34" t="inlineStr">
        <is>
          <t>Ramped deal, year one</t>
        </is>
      </c>
    </row>
    <row r="52">
      <c r="A52" s="39" t="inlineStr">
        <is>
          <t>2024-10-09</t>
        </is>
      </c>
      <c r="B52" s="18" t="inlineStr">
        <is>
          <t>APAC</t>
        </is>
      </c>
      <c r="C52" s="18" t="inlineStr">
        <is>
          <t>Alerts add-on</t>
        </is>
      </c>
      <c r="D52" s="18" t="inlineStr">
        <is>
          <t>SMB</t>
        </is>
      </c>
      <c r="E52" s="18" t="inlineStr">
        <is>
          <t>C. Marín</t>
        </is>
      </c>
      <c r="F52" s="20" t="n">
        <v>29600</v>
      </c>
      <c r="G52" s="34" t="inlineStr">
        <is>
          <t>Standard list price</t>
        </is>
      </c>
    </row>
    <row r="53">
      <c r="A53" s="39" t="inlineStr">
        <is>
          <t>2024-10-16</t>
        </is>
      </c>
      <c r="B53" s="18" t="inlineStr">
        <is>
          <t>APAC</t>
        </is>
      </c>
      <c r="C53" s="18" t="inlineStr">
        <is>
          <t>Warehouse Connect</t>
        </is>
      </c>
      <c r="D53" s="18" t="inlineStr">
        <is>
          <t>SMB</t>
        </is>
      </c>
      <c r="E53" s="18" t="inlineStr">
        <is>
          <t>D. Chatterjee</t>
        </is>
      </c>
      <c r="F53" s="20" t="n">
        <v>12400</v>
      </c>
      <c r="G53" s="34" t="inlineStr">
        <is>
          <t>Partner-sourced</t>
        </is>
      </c>
    </row>
    <row r="54">
      <c r="A54" s="39" t="inlineStr">
        <is>
          <t>2024-10-23</t>
        </is>
      </c>
      <c r="B54" s="18" t="inlineStr">
        <is>
          <t>AMER West</t>
        </is>
      </c>
      <c r="C54" s="18" t="inlineStr">
        <is>
          <t>Signal Core</t>
        </is>
      </c>
      <c r="D54" s="18" t="inlineStr">
        <is>
          <t>Enterprise</t>
        </is>
      </c>
      <c r="E54" s="18" t="inlineStr">
        <is>
          <t>A. Okafor</t>
        </is>
      </c>
      <c r="F54" s="20" t="n">
        <v>132200</v>
      </c>
      <c r="G54" s="34" t="inlineStr">
        <is>
          <t>Pilot converted</t>
        </is>
      </c>
    </row>
    <row r="55">
      <c r="A55" s="39" t="inlineStr">
        <is>
          <t>2024-10-30</t>
        </is>
      </c>
      <c r="B55" s="18" t="inlineStr">
        <is>
          <t>AMER West</t>
        </is>
      </c>
      <c r="C55" s="18" t="inlineStr">
        <is>
          <t>Embedded Reports</t>
        </is>
      </c>
      <c r="D55" s="18" t="inlineStr">
        <is>
          <t>Mid-market</t>
        </is>
      </c>
      <c r="E55" s="18" t="inlineStr">
        <is>
          <t>C. Marín</t>
        </is>
      </c>
      <c r="F55" s="20" t="n">
        <v>40600</v>
      </c>
      <c r="G55" s="34" t="inlineStr">
        <is>
          <t>Standard list price</t>
        </is>
      </c>
    </row>
    <row r="56">
      <c r="A56" s="39" t="inlineStr">
        <is>
          <t>2024-10-06</t>
        </is>
      </c>
      <c r="B56" s="18" t="inlineStr">
        <is>
          <t>AMER West</t>
        </is>
      </c>
      <c r="C56" s="18" t="inlineStr">
        <is>
          <t>Signal Pro</t>
        </is>
      </c>
      <c r="D56" s="18" t="inlineStr">
        <is>
          <t>SMB</t>
        </is>
      </c>
      <c r="E56" s="18" t="inlineStr">
        <is>
          <t>H. Vasquez</t>
        </is>
      </c>
      <c r="F56" s="20" t="n">
        <v>52100</v>
      </c>
      <c r="G56" s="34" t="inlineStr">
        <is>
          <t>Standard list price</t>
        </is>
      </c>
    </row>
    <row r="57">
      <c r="A57" s="39" t="inlineStr">
        <is>
          <t>2024-10-13</t>
        </is>
      </c>
      <c r="B57" s="18" t="inlineStr">
        <is>
          <t>APAC</t>
        </is>
      </c>
      <c r="C57" s="18" t="inlineStr">
        <is>
          <t>Embedded Reports</t>
        </is>
      </c>
      <c r="D57" s="18" t="inlineStr">
        <is>
          <t>SMB</t>
        </is>
      </c>
      <c r="E57" s="18" t="inlineStr">
        <is>
          <t>H. Vasquez</t>
        </is>
      </c>
      <c r="F57" s="20" t="n">
        <v>226200</v>
      </c>
      <c r="G57" s="34" t="inlineStr">
        <is>
          <t>Multi-year prepay</t>
        </is>
      </c>
    </row>
    <row r="58">
      <c r="A58" s="39" t="inlineStr">
        <is>
          <t>2024-10-20</t>
        </is>
      </c>
      <c r="B58" s="18" t="inlineStr">
        <is>
          <t>AMER East</t>
        </is>
      </c>
      <c r="C58" s="18" t="inlineStr">
        <is>
          <t>Signal Core</t>
        </is>
      </c>
      <c r="D58" s="18" t="inlineStr">
        <is>
          <t>SMB</t>
        </is>
      </c>
      <c r="E58" s="18" t="inlineStr">
        <is>
          <t>J. Adeyemi</t>
        </is>
      </c>
      <c r="F58" s="20" t="n">
        <v>30300</v>
      </c>
      <c r="G58" s="34" t="inlineStr">
        <is>
          <t>Partner-sourced</t>
        </is>
      </c>
    </row>
    <row r="59">
      <c r="A59" s="39" t="inlineStr">
        <is>
          <t>2024-10-27</t>
        </is>
      </c>
      <c r="B59" s="18" t="inlineStr">
        <is>
          <t>EMEA</t>
        </is>
      </c>
      <c r="C59" s="18" t="inlineStr">
        <is>
          <t>Warehouse Connect</t>
        </is>
      </c>
      <c r="D59" s="18" t="inlineStr">
        <is>
          <t>Enterprise</t>
        </is>
      </c>
      <c r="E59" s="18" t="inlineStr">
        <is>
          <t>E. Nakamura</t>
        </is>
      </c>
      <c r="F59" s="20" t="n">
        <v>69200</v>
      </c>
      <c r="G59" s="34" t="inlineStr">
        <is>
          <t>Partner-sourced</t>
        </is>
      </c>
    </row>
    <row r="60">
      <c r="A60" s="39" t="inlineStr">
        <is>
          <t>2024-10-03</t>
        </is>
      </c>
      <c r="B60" s="18" t="inlineStr">
        <is>
          <t>AMER East</t>
        </is>
      </c>
      <c r="C60" s="18" t="inlineStr">
        <is>
          <t>Embedded Reports</t>
        </is>
      </c>
      <c r="D60" s="18" t="inlineStr">
        <is>
          <t>Mid-market</t>
        </is>
      </c>
      <c r="E60" s="18" t="inlineStr">
        <is>
          <t>K. Sørensen</t>
        </is>
      </c>
      <c r="F60" s="20" t="n">
        <v>36600</v>
      </c>
      <c r="G60" s="34" t="inlineStr">
        <is>
          <t>Co-term with parent</t>
        </is>
      </c>
    </row>
    <row r="61">
      <c r="A61" s="39" t="inlineStr">
        <is>
          <t>2024-10-10</t>
        </is>
      </c>
      <c r="B61" s="18" t="inlineStr">
        <is>
          <t>APAC</t>
        </is>
      </c>
      <c r="C61" s="18" t="inlineStr">
        <is>
          <t>Embedded Reports</t>
        </is>
      </c>
      <c r="D61" s="18" t="inlineStr">
        <is>
          <t>SMB</t>
        </is>
      </c>
      <c r="E61" s="18" t="inlineStr">
        <is>
          <t>J. Adeyemi</t>
        </is>
      </c>
      <c r="F61" s="20" t="n">
        <v>42500</v>
      </c>
      <c r="G61" s="34" t="inlineStr">
        <is>
          <t>Co-term with parent</t>
        </is>
      </c>
    </row>
    <row r="62">
      <c r="A62" s="39" t="inlineStr">
        <is>
          <t>2024-10-17</t>
        </is>
      </c>
      <c r="B62" s="18" t="inlineStr">
        <is>
          <t>AMER East</t>
        </is>
      </c>
      <c r="C62" s="18" t="inlineStr">
        <is>
          <t>Signal Core</t>
        </is>
      </c>
      <c r="D62" s="18" t="inlineStr">
        <is>
          <t>SMB</t>
        </is>
      </c>
      <c r="E62" s="18" t="inlineStr">
        <is>
          <t>A. Okafor</t>
        </is>
      </c>
      <c r="F62" s="20" t="n">
        <v>18800</v>
      </c>
      <c r="G62" s="34" t="inlineStr">
        <is>
          <t>Renewal uplift 7%</t>
        </is>
      </c>
    </row>
    <row r="63">
      <c r="A63" s="39" t="inlineStr">
        <is>
          <t>2024-10-24</t>
        </is>
      </c>
      <c r="B63" s="18" t="inlineStr">
        <is>
          <t>AMER East</t>
        </is>
      </c>
      <c r="C63" s="18" t="inlineStr">
        <is>
          <t>Alerts add-on</t>
        </is>
      </c>
      <c r="D63" s="18" t="inlineStr">
        <is>
          <t>SMB</t>
        </is>
      </c>
      <c r="E63" s="18" t="inlineStr">
        <is>
          <t>B. Lindqvist</t>
        </is>
      </c>
      <c r="F63" s="20" t="n">
        <v>57200</v>
      </c>
      <c r="G63" s="34" t="inlineStr">
        <is>
          <t>Pilot converted</t>
        </is>
      </c>
    </row>
    <row r="64">
      <c r="A64" s="39" t="inlineStr">
        <is>
          <t>2024-10-31</t>
        </is>
      </c>
      <c r="B64" s="18" t="inlineStr">
        <is>
          <t>LATAM</t>
        </is>
      </c>
      <c r="C64" s="18" t="inlineStr">
        <is>
          <t>Signal Pro</t>
        </is>
      </c>
      <c r="D64" s="18" t="inlineStr">
        <is>
          <t>Mid-market</t>
        </is>
      </c>
      <c r="E64" s="18" t="inlineStr">
        <is>
          <t>C. Marín</t>
        </is>
      </c>
      <c r="F64" s="20" t="n">
        <v>72200</v>
      </c>
      <c r="G64" s="34" t="inlineStr">
        <is>
          <t>Multi-year prepay</t>
        </is>
      </c>
    </row>
    <row r="65">
      <c r="A65" s="39" t="inlineStr">
        <is>
          <t>2024-10-07</t>
        </is>
      </c>
      <c r="B65" s="18" t="inlineStr">
        <is>
          <t>AMER West</t>
        </is>
      </c>
      <c r="C65" s="18" t="inlineStr">
        <is>
          <t>Alerts add-on</t>
        </is>
      </c>
      <c r="D65" s="18" t="inlineStr">
        <is>
          <t>Mid-market</t>
        </is>
      </c>
      <c r="E65" s="18" t="inlineStr">
        <is>
          <t>J. Adeyemi</t>
        </is>
      </c>
      <c r="F65" s="20" t="n">
        <v>58900</v>
      </c>
      <c r="G65" s="34" t="inlineStr">
        <is>
          <t>Renewal uplift 7%</t>
        </is>
      </c>
    </row>
    <row r="66">
      <c r="A66" s="39" t="inlineStr">
        <is>
          <t>2024-10-14</t>
        </is>
      </c>
      <c r="B66" s="18" t="inlineStr">
        <is>
          <t>AMER West</t>
        </is>
      </c>
      <c r="C66" s="18" t="inlineStr">
        <is>
          <t>Signal Pro</t>
        </is>
      </c>
      <c r="D66" s="18" t="inlineStr">
        <is>
          <t>Mid-market</t>
        </is>
      </c>
      <c r="E66" s="18" t="inlineStr">
        <is>
          <t>H. Vasquez</t>
        </is>
      </c>
      <c r="F66" s="20" t="n">
        <v>57500</v>
      </c>
      <c r="G66" s="34" t="inlineStr">
        <is>
          <t>Renewal uplift 7%</t>
        </is>
      </c>
    </row>
    <row r="67">
      <c r="A67" s="39" t="inlineStr">
        <is>
          <t>2024-10-21</t>
        </is>
      </c>
      <c r="B67" s="18" t="inlineStr">
        <is>
          <t>AMER East</t>
        </is>
      </c>
      <c r="C67" s="18" t="inlineStr">
        <is>
          <t>Alerts add-on</t>
        </is>
      </c>
      <c r="D67" s="18" t="inlineStr">
        <is>
          <t>Mid-market</t>
        </is>
      </c>
      <c r="E67" s="18" t="inlineStr">
        <is>
          <t>B. Lindqvist</t>
        </is>
      </c>
      <c r="F67" s="20" t="n">
        <v>29800</v>
      </c>
      <c r="G67" s="34" t="inlineStr">
        <is>
          <t>Partner-sourced</t>
        </is>
      </c>
    </row>
    <row r="68">
      <c r="A68" s="39" t="inlineStr">
        <is>
          <t>2024-10-28</t>
        </is>
      </c>
      <c r="B68" s="18" t="inlineStr">
        <is>
          <t>AMER West</t>
        </is>
      </c>
      <c r="C68" s="18" t="inlineStr">
        <is>
          <t>Signal Core</t>
        </is>
      </c>
      <c r="D68" s="18" t="inlineStr">
        <is>
          <t>Enterprise</t>
        </is>
      </c>
      <c r="E68" s="18" t="inlineStr">
        <is>
          <t>K. Sørensen</t>
        </is>
      </c>
      <c r="F68" s="20" t="n">
        <v>173100</v>
      </c>
      <c r="G68" s="34" t="inlineStr">
        <is>
          <t>Competitive displacement</t>
        </is>
      </c>
    </row>
    <row r="69">
      <c r="A69" s="39" t="inlineStr">
        <is>
          <t>2024-10-04</t>
        </is>
      </c>
      <c r="B69" s="18" t="inlineStr">
        <is>
          <t>LATAM</t>
        </is>
      </c>
      <c r="C69" s="18" t="inlineStr">
        <is>
          <t>Warehouse Connect</t>
        </is>
      </c>
      <c r="D69" s="18" t="inlineStr">
        <is>
          <t>Enterprise</t>
        </is>
      </c>
      <c r="E69" s="18" t="inlineStr">
        <is>
          <t>H. Vasquez</t>
        </is>
      </c>
      <c r="F69" s="20" t="n">
        <v>35100</v>
      </c>
      <c r="G69" s="34" t="inlineStr">
        <is>
          <t>Competitive displacement</t>
        </is>
      </c>
    </row>
    <row r="70">
      <c r="A70" s="39" t="inlineStr">
        <is>
          <t>2024-10-11</t>
        </is>
      </c>
      <c r="B70" s="18" t="inlineStr">
        <is>
          <t>AMER East</t>
        </is>
      </c>
      <c r="C70" s="18" t="inlineStr">
        <is>
          <t>Alerts add-on</t>
        </is>
      </c>
      <c r="D70" s="18" t="inlineStr">
        <is>
          <t>Enterprise</t>
        </is>
      </c>
      <c r="E70" s="18" t="inlineStr">
        <is>
          <t>G. Halloran</t>
        </is>
      </c>
      <c r="F70" s="20" t="n">
        <v>63000</v>
      </c>
      <c r="G70" s="34" t="inlineStr">
        <is>
          <t>Renewal uplift 7%</t>
        </is>
      </c>
    </row>
    <row r="71">
      <c r="A71" s="39" t="inlineStr">
        <is>
          <t>2024-10-18</t>
        </is>
      </c>
      <c r="B71" s="18" t="inlineStr">
        <is>
          <t>AMER West</t>
        </is>
      </c>
      <c r="C71" s="18" t="inlineStr">
        <is>
          <t>Embedded Reports</t>
        </is>
      </c>
      <c r="D71" s="18" t="inlineStr">
        <is>
          <t>Enterprise</t>
        </is>
      </c>
      <c r="E71" s="18" t="inlineStr">
        <is>
          <t>D. Chatterjee</t>
        </is>
      </c>
      <c r="F71" s="20" t="n">
        <v>68900</v>
      </c>
      <c r="G71" s="34" t="inlineStr">
        <is>
          <t>Partner-sourced</t>
        </is>
      </c>
    </row>
    <row r="72">
      <c r="A72" s="39" t="inlineStr">
        <is>
          <t>2024-10-25</t>
        </is>
      </c>
      <c r="B72" s="18" t="inlineStr">
        <is>
          <t>EMEA</t>
        </is>
      </c>
      <c r="C72" s="18" t="inlineStr">
        <is>
          <t>Signal Pro</t>
        </is>
      </c>
      <c r="D72" s="18" t="inlineStr">
        <is>
          <t>Mid-market</t>
        </is>
      </c>
      <c r="E72" s="18" t="inlineStr">
        <is>
          <t>K. Sørensen</t>
        </is>
      </c>
      <c r="F72" s="20" t="n">
        <v>65900</v>
      </c>
      <c r="G72" s="34" t="inlineStr">
        <is>
          <t>Renewal uplift 7%</t>
        </is>
      </c>
    </row>
    <row r="73">
      <c r="A73" s="39" t="inlineStr">
        <is>
          <t>2024-10-01</t>
        </is>
      </c>
      <c r="B73" s="18" t="inlineStr">
        <is>
          <t>APAC</t>
        </is>
      </c>
      <c r="C73" s="18" t="inlineStr">
        <is>
          <t>Alerts add-on</t>
        </is>
      </c>
      <c r="D73" s="18" t="inlineStr">
        <is>
          <t>Enterprise</t>
        </is>
      </c>
      <c r="E73" s="18" t="inlineStr">
        <is>
          <t>K. Sørensen</t>
        </is>
      </c>
      <c r="F73" s="20" t="n">
        <v>4700</v>
      </c>
      <c r="G73" s="34" t="inlineStr">
        <is>
          <t>Multi-year prepay</t>
        </is>
      </c>
    </row>
    <row r="74">
      <c r="A74" s="39" t="inlineStr">
        <is>
          <t>2024-10-08</t>
        </is>
      </c>
      <c r="B74" s="18" t="inlineStr">
        <is>
          <t>AMER East</t>
        </is>
      </c>
      <c r="C74" s="18" t="inlineStr">
        <is>
          <t>Alerts add-on</t>
        </is>
      </c>
      <c r="D74" s="18" t="inlineStr">
        <is>
          <t>SMB</t>
        </is>
      </c>
      <c r="E74" s="18" t="inlineStr">
        <is>
          <t>G. Halloran</t>
        </is>
      </c>
      <c r="F74" s="20" t="n">
        <v>16100</v>
      </c>
      <c r="G74" s="34" t="inlineStr">
        <is>
          <t>Ramped deal, year one</t>
        </is>
      </c>
    </row>
    <row r="75">
      <c r="A75" s="39" t="inlineStr">
        <is>
          <t>2024-10-15</t>
        </is>
      </c>
      <c r="B75" s="18" t="inlineStr">
        <is>
          <t>LATAM</t>
        </is>
      </c>
      <c r="C75" s="18" t="inlineStr">
        <is>
          <t>Signal Core</t>
        </is>
      </c>
      <c r="D75" s="18" t="inlineStr">
        <is>
          <t>Mid-market</t>
        </is>
      </c>
      <c r="E75" s="18" t="inlineStr">
        <is>
          <t>G. Halloran</t>
        </is>
      </c>
      <c r="F75" s="20" t="n">
        <v>15000</v>
      </c>
      <c r="G75" s="34" t="inlineStr">
        <is>
          <t>Pilot converted</t>
        </is>
      </c>
    </row>
    <row r="76">
      <c r="A76" s="39" t="inlineStr">
        <is>
          <t>2024-10-22</t>
        </is>
      </c>
      <c r="B76" s="18" t="inlineStr">
        <is>
          <t>LATAM</t>
        </is>
      </c>
      <c r="C76" s="18" t="inlineStr">
        <is>
          <t>Signal Core</t>
        </is>
      </c>
      <c r="D76" s="18" t="inlineStr">
        <is>
          <t>Enterprise</t>
        </is>
      </c>
      <c r="E76" s="18" t="inlineStr">
        <is>
          <t>K. Sørensen</t>
        </is>
      </c>
      <c r="F76" s="20" t="n">
        <v>55300</v>
      </c>
      <c r="G76" s="34" t="inlineStr">
        <is>
          <t>Renewal uplift 7%</t>
        </is>
      </c>
    </row>
    <row r="77">
      <c r="A77" s="39" t="inlineStr">
        <is>
          <t>2024-10-29</t>
        </is>
      </c>
      <c r="B77" s="18" t="inlineStr">
        <is>
          <t>LATAM</t>
        </is>
      </c>
      <c r="C77" s="18" t="inlineStr">
        <is>
          <t>Signal Core</t>
        </is>
      </c>
      <c r="D77" s="18" t="inlineStr">
        <is>
          <t>SMB</t>
        </is>
      </c>
      <c r="E77" s="18" t="inlineStr">
        <is>
          <t>C. Marín</t>
        </is>
      </c>
      <c r="F77" s="20" t="n">
        <v>140000</v>
      </c>
      <c r="G77" s="34" t="inlineStr">
        <is>
          <t>Renewal uplift 7%</t>
        </is>
      </c>
    </row>
    <row r="78">
      <c r="A78" s="39" t="inlineStr">
        <is>
          <t>2024-10-05</t>
        </is>
      </c>
      <c r="B78" s="18" t="inlineStr">
        <is>
          <t>LATAM</t>
        </is>
      </c>
      <c r="C78" s="18" t="inlineStr">
        <is>
          <t>Signal Pro</t>
        </is>
      </c>
      <c r="D78" s="18" t="inlineStr">
        <is>
          <t>Enterprise</t>
        </is>
      </c>
      <c r="E78" s="18" t="inlineStr">
        <is>
          <t>J. Adeyemi</t>
        </is>
      </c>
      <c r="F78" s="20" t="n">
        <v>65400</v>
      </c>
      <c r="G78" s="34" t="inlineStr">
        <is>
          <t>Multi-year prepay</t>
        </is>
      </c>
    </row>
    <row r="79">
      <c r="A79" s="39" t="inlineStr">
        <is>
          <t>2024-10-12</t>
        </is>
      </c>
      <c r="B79" s="18" t="inlineStr">
        <is>
          <t>AMER East</t>
        </is>
      </c>
      <c r="C79" s="18" t="inlineStr">
        <is>
          <t>Embedded Reports</t>
        </is>
      </c>
      <c r="D79" s="18" t="inlineStr">
        <is>
          <t>Mid-market</t>
        </is>
      </c>
      <c r="E79" s="18" t="inlineStr">
        <is>
          <t>K. Sørensen</t>
        </is>
      </c>
      <c r="F79" s="20" t="n">
        <v>34200</v>
      </c>
      <c r="G79" s="34" t="inlineStr">
        <is>
          <t>Co-term with parent</t>
        </is>
      </c>
    </row>
    <row r="80">
      <c r="A80" s="39" t="inlineStr">
        <is>
          <t>2024-10-19</t>
        </is>
      </c>
      <c r="B80" s="18" t="inlineStr">
        <is>
          <t>EMEA</t>
        </is>
      </c>
      <c r="C80" s="18" t="inlineStr">
        <is>
          <t>Signal Pro</t>
        </is>
      </c>
      <c r="D80" s="18" t="inlineStr">
        <is>
          <t>Enterprise</t>
        </is>
      </c>
      <c r="E80" s="18" t="inlineStr">
        <is>
          <t>A. Okafor</t>
        </is>
      </c>
      <c r="F80" s="20" t="n">
        <v>20800</v>
      </c>
      <c r="G80" s="34" t="inlineStr">
        <is>
          <t>Pilot converted</t>
        </is>
      </c>
    </row>
    <row r="81">
      <c r="A81" s="39" t="inlineStr">
        <is>
          <t>2024-10-26</t>
        </is>
      </c>
      <c r="B81" s="18" t="inlineStr">
        <is>
          <t>EMEA</t>
        </is>
      </c>
      <c r="C81" s="18" t="inlineStr">
        <is>
          <t>Signal Core</t>
        </is>
      </c>
      <c r="D81" s="18" t="inlineStr">
        <is>
          <t>Mid-market</t>
        </is>
      </c>
      <c r="E81" s="18" t="inlineStr">
        <is>
          <t>B. Lindqvist</t>
        </is>
      </c>
      <c r="F81" s="20" t="n">
        <v>137400</v>
      </c>
      <c r="G81" s="34" t="inlineStr">
        <is>
          <t>Ramped deal, year one</t>
        </is>
      </c>
    </row>
    <row r="82">
      <c r="A82" s="39" t="inlineStr">
        <is>
          <t>2024-10-02</t>
        </is>
      </c>
      <c r="B82" s="18" t="inlineStr">
        <is>
          <t>LATAM</t>
        </is>
      </c>
      <c r="C82" s="18" t="inlineStr">
        <is>
          <t>Signal Pro</t>
        </is>
      </c>
      <c r="D82" s="18" t="inlineStr">
        <is>
          <t>Enterprise</t>
        </is>
      </c>
      <c r="E82" s="18" t="inlineStr">
        <is>
          <t>F. Duarte</t>
        </is>
      </c>
      <c r="F82" s="20" t="n">
        <v>205200</v>
      </c>
      <c r="G82" s="34" t="inlineStr">
        <is>
          <t>Competitive displacement</t>
        </is>
      </c>
    </row>
    <row r="83">
      <c r="A83" s="39" t="inlineStr">
        <is>
          <t>2024-10-09</t>
        </is>
      </c>
      <c r="B83" s="18" t="inlineStr">
        <is>
          <t>AMER West</t>
        </is>
      </c>
      <c r="C83" s="18" t="inlineStr">
        <is>
          <t>Warehouse Connect</t>
        </is>
      </c>
      <c r="D83" s="18" t="inlineStr">
        <is>
          <t>Enterprise</t>
        </is>
      </c>
      <c r="E83" s="18" t="inlineStr">
        <is>
          <t>F. Duarte</t>
        </is>
      </c>
      <c r="F83" s="20" t="n">
        <v>51500</v>
      </c>
      <c r="G83" s="34" t="inlineStr">
        <is>
          <t>Standard list price</t>
        </is>
      </c>
    </row>
    <row r="84">
      <c r="A84" s="39" t="inlineStr">
        <is>
          <t>2024-10-16</t>
        </is>
      </c>
      <c r="B84" s="18" t="inlineStr">
        <is>
          <t>LATAM</t>
        </is>
      </c>
      <c r="C84" s="18" t="inlineStr">
        <is>
          <t>Warehouse Connect</t>
        </is>
      </c>
      <c r="D84" s="18" t="inlineStr">
        <is>
          <t>Enterprise</t>
        </is>
      </c>
      <c r="E84" s="18" t="inlineStr">
        <is>
          <t>F. Duarte</t>
        </is>
      </c>
      <c r="F84" s="20" t="n">
        <v>102600</v>
      </c>
      <c r="G84" s="34" t="inlineStr">
        <is>
          <t>Co-term with parent</t>
        </is>
      </c>
    </row>
    <row r="85">
      <c r="A85" s="39" t="inlineStr">
        <is>
          <t>2024-10-23</t>
        </is>
      </c>
      <c r="B85" s="18" t="inlineStr">
        <is>
          <t>APAC</t>
        </is>
      </c>
      <c r="C85" s="18" t="inlineStr">
        <is>
          <t>Alerts add-on</t>
        </is>
      </c>
      <c r="D85" s="18" t="inlineStr">
        <is>
          <t>Mid-market</t>
        </is>
      </c>
      <c r="E85" s="18" t="inlineStr">
        <is>
          <t>F. Duarte</t>
        </is>
      </c>
      <c r="F85" s="20" t="n">
        <v>16300</v>
      </c>
      <c r="G85" s="34" t="inlineStr">
        <is>
          <t>Ramped deal, year one</t>
        </is>
      </c>
    </row>
    <row r="86">
      <c r="A86" s="39" t="inlineStr">
        <is>
          <t>2024-10-30</t>
        </is>
      </c>
      <c r="B86" s="18" t="inlineStr">
        <is>
          <t>LATAM</t>
        </is>
      </c>
      <c r="C86" s="18" t="inlineStr">
        <is>
          <t>Alerts add-on</t>
        </is>
      </c>
      <c r="D86" s="18" t="inlineStr">
        <is>
          <t>SMB</t>
        </is>
      </c>
      <c r="E86" s="18" t="inlineStr">
        <is>
          <t>K. Sørensen</t>
        </is>
      </c>
      <c r="F86" s="20" t="n">
        <v>51100</v>
      </c>
      <c r="G86" s="34" t="inlineStr">
        <is>
          <t>Partner-sourced</t>
        </is>
      </c>
    </row>
    <row r="87">
      <c r="A87" s="39" t="inlineStr">
        <is>
          <t>2024-10-06</t>
        </is>
      </c>
      <c r="B87" s="18" t="inlineStr">
        <is>
          <t>LATAM</t>
        </is>
      </c>
      <c r="C87" s="18" t="inlineStr">
        <is>
          <t>Signal Core</t>
        </is>
      </c>
      <c r="D87" s="18" t="inlineStr">
        <is>
          <t>SMB</t>
        </is>
      </c>
      <c r="E87" s="18" t="inlineStr">
        <is>
          <t>J. Adeyemi</t>
        </is>
      </c>
      <c r="F87" s="20" t="n">
        <v>6500</v>
      </c>
      <c r="G87" s="34" t="inlineStr">
        <is>
          <t>Standard list price</t>
        </is>
      </c>
    </row>
    <row r="88">
      <c r="A88" s="39" t="inlineStr">
        <is>
          <t>2024-10-13</t>
        </is>
      </c>
      <c r="B88" s="18" t="inlineStr">
        <is>
          <t>LATAM</t>
        </is>
      </c>
      <c r="C88" s="18" t="inlineStr">
        <is>
          <t>Signal Core</t>
        </is>
      </c>
      <c r="D88" s="18" t="inlineStr">
        <is>
          <t>Mid-market</t>
        </is>
      </c>
      <c r="E88" s="18" t="inlineStr">
        <is>
          <t>E. Nakamura</t>
        </is>
      </c>
      <c r="F88" s="20" t="n">
        <v>63700</v>
      </c>
      <c r="G88" s="34" t="inlineStr">
        <is>
          <t>Standard list price</t>
        </is>
      </c>
    </row>
    <row r="89">
      <c r="A89" s="39" t="inlineStr">
        <is>
          <t>2024-10-20</t>
        </is>
      </c>
      <c r="B89" s="18" t="inlineStr">
        <is>
          <t>LATAM</t>
        </is>
      </c>
      <c r="C89" s="18" t="inlineStr">
        <is>
          <t>Signal Pro</t>
        </is>
      </c>
      <c r="D89" s="18" t="inlineStr">
        <is>
          <t>Enterprise</t>
        </is>
      </c>
      <c r="E89" s="18" t="inlineStr">
        <is>
          <t>A. Okafor</t>
        </is>
      </c>
      <c r="F89" s="20" t="n">
        <v>50700</v>
      </c>
      <c r="G89" s="34" t="inlineStr">
        <is>
          <t>Pilot converted</t>
        </is>
      </c>
    </row>
    <row r="90">
      <c r="A90" s="39" t="inlineStr">
        <is>
          <t>2024-10-27</t>
        </is>
      </c>
      <c r="B90" s="18" t="inlineStr">
        <is>
          <t>LATAM</t>
        </is>
      </c>
      <c r="C90" s="18" t="inlineStr">
        <is>
          <t>Signal Pro</t>
        </is>
      </c>
      <c r="D90" s="18" t="inlineStr">
        <is>
          <t>SMB</t>
        </is>
      </c>
      <c r="E90" s="18" t="inlineStr">
        <is>
          <t>K. Sørensen</t>
        </is>
      </c>
      <c r="F90" s="20" t="n">
        <v>77800</v>
      </c>
      <c r="G90" s="34" t="inlineStr">
        <is>
          <t>Pilot converted</t>
        </is>
      </c>
    </row>
    <row r="91">
      <c r="A91" s="39" t="inlineStr">
        <is>
          <t>2024-10-03</t>
        </is>
      </c>
      <c r="B91" s="18" t="inlineStr">
        <is>
          <t>AMER East</t>
        </is>
      </c>
      <c r="C91" s="18" t="inlineStr">
        <is>
          <t>Embedded Reports</t>
        </is>
      </c>
      <c r="D91" s="18" t="inlineStr">
        <is>
          <t>Mid-market</t>
        </is>
      </c>
      <c r="E91" s="18" t="inlineStr">
        <is>
          <t>A. Okafor</t>
        </is>
      </c>
      <c r="F91" s="20" t="n">
        <v>44700</v>
      </c>
      <c r="G91" s="34" t="inlineStr">
        <is>
          <t>Co-term with parent</t>
        </is>
      </c>
    </row>
    <row r="92">
      <c r="A92" s="39" t="inlineStr">
        <is>
          <t>2024-10-10</t>
        </is>
      </c>
      <c r="B92" s="18" t="inlineStr">
        <is>
          <t>AMER West</t>
        </is>
      </c>
      <c r="C92" s="18" t="inlineStr">
        <is>
          <t>Signal Core</t>
        </is>
      </c>
      <c r="D92" s="18" t="inlineStr">
        <is>
          <t>Mid-market</t>
        </is>
      </c>
      <c r="E92" s="18" t="inlineStr">
        <is>
          <t>K. Sørensen</t>
        </is>
      </c>
      <c r="F92" s="20" t="n">
        <v>64800</v>
      </c>
      <c r="G92" s="34" t="inlineStr">
        <is>
          <t>Renewal uplift 7%</t>
        </is>
      </c>
    </row>
    <row r="93">
      <c r="A93" s="39" t="inlineStr">
        <is>
          <t>2024-10-17</t>
        </is>
      </c>
      <c r="B93" s="18" t="inlineStr">
        <is>
          <t>LATAM</t>
        </is>
      </c>
      <c r="C93" s="18" t="inlineStr">
        <is>
          <t>Alerts add-on</t>
        </is>
      </c>
      <c r="D93" s="18" t="inlineStr">
        <is>
          <t>Enterprise</t>
        </is>
      </c>
      <c r="E93" s="18" t="inlineStr">
        <is>
          <t>G. Halloran</t>
        </is>
      </c>
      <c r="F93" s="20" t="n">
        <v>144400</v>
      </c>
      <c r="G93" s="34" t="inlineStr">
        <is>
          <t>Partner-sourced</t>
        </is>
      </c>
    </row>
    <row r="94">
      <c r="A94" s="39" t="inlineStr">
        <is>
          <t>2024-10-24</t>
        </is>
      </c>
      <c r="B94" s="18" t="inlineStr">
        <is>
          <t>EMEA</t>
        </is>
      </c>
      <c r="C94" s="18" t="inlineStr">
        <is>
          <t>Signal Core</t>
        </is>
      </c>
      <c r="D94" s="18" t="inlineStr">
        <is>
          <t>Mid-market</t>
        </is>
      </c>
      <c r="E94" s="18" t="inlineStr">
        <is>
          <t>E. Nakamura</t>
        </is>
      </c>
      <c r="F94" s="20" t="n">
        <v>57900</v>
      </c>
      <c r="G94" s="34" t="inlineStr">
        <is>
          <t>Standard list price</t>
        </is>
      </c>
    </row>
    <row r="95">
      <c r="A95" s="39" t="inlineStr">
        <is>
          <t>2024-10-31</t>
        </is>
      </c>
      <c r="B95" s="18" t="inlineStr">
        <is>
          <t>EMEA</t>
        </is>
      </c>
      <c r="C95" s="18" t="inlineStr">
        <is>
          <t>Signal Pro</t>
        </is>
      </c>
      <c r="D95" s="18" t="inlineStr">
        <is>
          <t>Mid-market</t>
        </is>
      </c>
      <c r="E95" s="18" t="inlineStr">
        <is>
          <t>H. Vasquez</t>
        </is>
      </c>
      <c r="F95" s="20" t="n">
        <v>42400</v>
      </c>
      <c r="G95" s="34" t="inlineStr">
        <is>
          <t>Renewal uplift 7%</t>
        </is>
      </c>
    </row>
    <row r="96">
      <c r="A96" s="39" t="inlineStr">
        <is>
          <t>2024-10-07</t>
        </is>
      </c>
      <c r="B96" s="18" t="inlineStr">
        <is>
          <t>AMER East</t>
        </is>
      </c>
      <c r="C96" s="18" t="inlineStr">
        <is>
          <t>Alerts add-on</t>
        </is>
      </c>
      <c r="D96" s="18" t="inlineStr">
        <is>
          <t>Mid-market</t>
        </is>
      </c>
      <c r="E96" s="18" t="inlineStr">
        <is>
          <t>D. Chatterjee</t>
        </is>
      </c>
      <c r="F96" s="20" t="n">
        <v>74400</v>
      </c>
      <c r="G96" s="34" t="inlineStr">
        <is>
          <t>Ramped deal, year one</t>
        </is>
      </c>
    </row>
    <row r="97">
      <c r="A97" s="39" t="inlineStr">
        <is>
          <t>2024-10-14</t>
        </is>
      </c>
      <c r="B97" s="18" t="inlineStr">
        <is>
          <t>LATAM</t>
        </is>
      </c>
      <c r="C97" s="18" t="inlineStr">
        <is>
          <t>Alerts add-on</t>
        </is>
      </c>
      <c r="D97" s="18" t="inlineStr">
        <is>
          <t>SMB</t>
        </is>
      </c>
      <c r="E97" s="18" t="inlineStr">
        <is>
          <t>J. Adeyemi</t>
        </is>
      </c>
      <c r="F97" s="20" t="n">
        <v>136200</v>
      </c>
      <c r="G97" s="34" t="inlineStr">
        <is>
          <t>Multi-year prepay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2024-11-04</t>
        </is>
      </c>
      <c r="B2" s="18" t="inlineStr">
        <is>
          <t>EMEA</t>
        </is>
      </c>
      <c r="C2" s="18" t="inlineStr">
        <is>
          <t>Signal Pro</t>
        </is>
      </c>
      <c r="D2" s="18" t="inlineStr">
        <is>
          <t>SMB</t>
        </is>
      </c>
      <c r="E2" s="18" t="inlineStr">
        <is>
          <t>K. Sørensen</t>
        </is>
      </c>
      <c r="F2" s="20" t="n">
        <v>217200</v>
      </c>
      <c r="G2" s="34" t="inlineStr">
        <is>
          <t>Rebate carried from legacy 10% promo</t>
        </is>
      </c>
    </row>
    <row r="3">
      <c r="A3" s="39" t="inlineStr">
        <is>
          <t>2024-11-11</t>
        </is>
      </c>
      <c r="B3" s="18" t="inlineStr">
        <is>
          <t>LATAM</t>
        </is>
      </c>
      <c r="C3" s="18" t="inlineStr">
        <is>
          <t>Signal Pro</t>
        </is>
      </c>
      <c r="D3" s="18" t="inlineStr">
        <is>
          <t>Enterprise</t>
        </is>
      </c>
      <c r="E3" s="18" t="inlineStr">
        <is>
          <t>F. Duarte</t>
        </is>
      </c>
      <c r="F3" s="20" t="n">
        <v>20200</v>
      </c>
      <c r="G3" s="34" t="inlineStr">
        <is>
          <t>Renewal uplift 7%</t>
        </is>
      </c>
    </row>
    <row r="4">
      <c r="A4" s="39" t="inlineStr">
        <is>
          <t>2024-11-18</t>
        </is>
      </c>
      <c r="B4" s="18" t="inlineStr">
        <is>
          <t>EMEA</t>
        </is>
      </c>
      <c r="C4" s="18" t="inlineStr">
        <is>
          <t>Signal Core</t>
        </is>
      </c>
      <c r="D4" s="18" t="inlineStr">
        <is>
          <t>Mid-market</t>
        </is>
      </c>
      <c r="E4" s="18" t="inlineStr">
        <is>
          <t>A. Okafor</t>
        </is>
      </c>
      <c r="F4" s="20" t="n">
        <v>123900</v>
      </c>
      <c r="G4" s="34" t="inlineStr">
        <is>
          <t>Multi-year prepay</t>
        </is>
      </c>
    </row>
    <row r="5">
      <c r="A5" s="39" t="inlineStr">
        <is>
          <t>2024-11-25</t>
        </is>
      </c>
      <c r="B5" s="18" t="inlineStr">
        <is>
          <t>LATAM</t>
        </is>
      </c>
      <c r="C5" s="18" t="inlineStr">
        <is>
          <t>Signal Pro</t>
        </is>
      </c>
      <c r="D5" s="18" t="inlineStr">
        <is>
          <t>Mid-market</t>
        </is>
      </c>
      <c r="E5" s="18" t="inlineStr">
        <is>
          <t>G. Halloran</t>
        </is>
      </c>
      <c r="F5" s="20" t="n">
        <v>136400</v>
      </c>
      <c r="G5" s="34" t="inlineStr">
        <is>
          <t>Multi-year prepay</t>
        </is>
      </c>
    </row>
    <row r="6">
      <c r="A6" s="39" t="inlineStr">
        <is>
          <t>2024-11-02</t>
        </is>
      </c>
      <c r="B6" s="18" t="inlineStr">
        <is>
          <t>APAC</t>
        </is>
      </c>
      <c r="C6" s="18" t="inlineStr">
        <is>
          <t>Signal Core</t>
        </is>
      </c>
      <c r="D6" s="18" t="inlineStr">
        <is>
          <t>Enterprise</t>
        </is>
      </c>
      <c r="E6" s="18" t="inlineStr">
        <is>
          <t>B. Lindqvist</t>
        </is>
      </c>
      <c r="F6" s="20" t="n">
        <v>20900</v>
      </c>
      <c r="G6" s="34" t="inlineStr">
        <is>
          <t>Standard list price</t>
        </is>
      </c>
    </row>
    <row r="7">
      <c r="A7" s="39" t="inlineStr">
        <is>
          <t>2024-11-09</t>
        </is>
      </c>
      <c r="B7" s="18" t="inlineStr">
        <is>
          <t>AMER West</t>
        </is>
      </c>
      <c r="C7" s="18" t="inlineStr">
        <is>
          <t>Alerts add-on</t>
        </is>
      </c>
      <c r="D7" s="18" t="inlineStr">
        <is>
          <t>Mid-market</t>
        </is>
      </c>
      <c r="E7" s="18" t="inlineStr">
        <is>
          <t>E. Nakamura</t>
        </is>
      </c>
      <c r="F7" s="20" t="n">
        <v>73100</v>
      </c>
      <c r="G7" s="34" t="inlineStr">
        <is>
          <t>Partner-sourced</t>
        </is>
      </c>
    </row>
    <row r="8">
      <c r="A8" s="39" t="inlineStr">
        <is>
          <t>2024-11-16</t>
        </is>
      </c>
      <c r="B8" s="18" t="inlineStr">
        <is>
          <t>APAC</t>
        </is>
      </c>
      <c r="C8" s="18" t="inlineStr">
        <is>
          <t>Signal Pro</t>
        </is>
      </c>
      <c r="D8" s="18" t="inlineStr">
        <is>
          <t>Enterprise</t>
        </is>
      </c>
      <c r="E8" s="18" t="inlineStr">
        <is>
          <t>H. Vasquez</t>
        </is>
      </c>
      <c r="F8" s="20" t="n">
        <v>10000</v>
      </c>
      <c r="G8" s="34" t="inlineStr">
        <is>
          <t>Ramped deal, year one</t>
        </is>
      </c>
    </row>
    <row r="9">
      <c r="A9" s="39" t="inlineStr">
        <is>
          <t>2024-11-23</t>
        </is>
      </c>
      <c r="B9" s="18" t="inlineStr">
        <is>
          <t>APAC</t>
        </is>
      </c>
      <c r="C9" s="18" t="inlineStr">
        <is>
          <t>Signal Core</t>
        </is>
      </c>
      <c r="D9" s="18" t="inlineStr">
        <is>
          <t>Enterprise</t>
        </is>
      </c>
      <c r="E9" s="18" t="inlineStr">
        <is>
          <t>H. Vasquez</t>
        </is>
      </c>
      <c r="F9" s="20" t="n">
        <v>35700</v>
      </c>
      <c r="G9" s="34" t="inlineStr">
        <is>
          <t>Renewal uplift 7%</t>
        </is>
      </c>
    </row>
    <row r="10">
      <c r="A10" s="39" t="inlineStr">
        <is>
          <t>2024-11-30</t>
        </is>
      </c>
      <c r="B10" s="18" t="inlineStr">
        <is>
          <t>APAC</t>
        </is>
      </c>
      <c r="C10" s="18" t="inlineStr">
        <is>
          <t>Signal Pro</t>
        </is>
      </c>
      <c r="D10" s="18" t="inlineStr">
        <is>
          <t>Enterprise</t>
        </is>
      </c>
      <c r="E10" s="18" t="inlineStr">
        <is>
          <t>K. Sørensen</t>
        </is>
      </c>
      <c r="F10" s="20" t="n">
        <v>53400</v>
      </c>
      <c r="G10" s="34" t="inlineStr">
        <is>
          <t>Ramped deal, year one</t>
        </is>
      </c>
    </row>
    <row r="11">
      <c r="A11" s="39" t="inlineStr">
        <is>
          <t>2024-11-07</t>
        </is>
      </c>
      <c r="B11" s="18" t="inlineStr">
        <is>
          <t>APAC</t>
        </is>
      </c>
      <c r="C11" s="18" t="inlineStr">
        <is>
          <t>Alerts add-on</t>
        </is>
      </c>
      <c r="D11" s="18" t="inlineStr">
        <is>
          <t>SMB</t>
        </is>
      </c>
      <c r="E11" s="18" t="inlineStr">
        <is>
          <t>C. Marín</t>
        </is>
      </c>
      <c r="F11" s="20" t="n">
        <v>49200</v>
      </c>
      <c r="G11" s="34" t="inlineStr">
        <is>
          <t>Pilot converted</t>
        </is>
      </c>
    </row>
    <row r="12">
      <c r="A12" s="39" t="inlineStr">
        <is>
          <t>2024-11-14</t>
        </is>
      </c>
      <c r="B12" s="18" t="inlineStr">
        <is>
          <t>APAC</t>
        </is>
      </c>
      <c r="C12" s="18" t="inlineStr">
        <is>
          <t>Signal Core</t>
        </is>
      </c>
      <c r="D12" s="18" t="inlineStr">
        <is>
          <t>SMB</t>
        </is>
      </c>
      <c r="E12" s="18" t="inlineStr">
        <is>
          <t>F. Duarte</t>
        </is>
      </c>
      <c r="F12" s="20" t="n">
        <v>122100</v>
      </c>
      <c r="G12" s="34" t="inlineStr">
        <is>
          <t>Competitive displacement</t>
        </is>
      </c>
    </row>
    <row r="13">
      <c r="A13" s="39" t="inlineStr">
        <is>
          <t>2024-11-21</t>
        </is>
      </c>
      <c r="B13" s="18" t="inlineStr">
        <is>
          <t>AMER West</t>
        </is>
      </c>
      <c r="C13" s="18" t="inlineStr">
        <is>
          <t>Alerts add-on</t>
        </is>
      </c>
      <c r="D13" s="18" t="inlineStr">
        <is>
          <t>Mid-market</t>
        </is>
      </c>
      <c r="E13" s="18" t="inlineStr">
        <is>
          <t>G. Halloran</t>
        </is>
      </c>
      <c r="F13" s="20" t="n">
        <v>51200</v>
      </c>
      <c r="G13" s="34" t="inlineStr">
        <is>
          <t>Standard list price</t>
        </is>
      </c>
    </row>
    <row r="14">
      <c r="A14" s="39" t="inlineStr">
        <is>
          <t>2024-11-28</t>
        </is>
      </c>
      <c r="B14" s="18" t="inlineStr">
        <is>
          <t>EMEA</t>
        </is>
      </c>
      <c r="C14" s="18" t="inlineStr">
        <is>
          <t>Alerts add-on</t>
        </is>
      </c>
      <c r="D14" s="18" t="inlineStr">
        <is>
          <t>SMB</t>
        </is>
      </c>
      <c r="E14" s="18" t="inlineStr">
        <is>
          <t>J. Adeyemi</t>
        </is>
      </c>
      <c r="F14" s="20" t="n">
        <v>38100</v>
      </c>
      <c r="G14" s="34" t="inlineStr">
        <is>
          <t>Standard list price</t>
        </is>
      </c>
    </row>
    <row r="15">
      <c r="A15" s="39" t="inlineStr">
        <is>
          <t>2024-11-05</t>
        </is>
      </c>
      <c r="B15" s="18" t="inlineStr">
        <is>
          <t>LATAM</t>
        </is>
      </c>
      <c r="C15" s="18" t="inlineStr">
        <is>
          <t>Warehouse Connect</t>
        </is>
      </c>
      <c r="D15" s="18" t="inlineStr">
        <is>
          <t>Enterprise</t>
        </is>
      </c>
      <c r="E15" s="18" t="inlineStr">
        <is>
          <t>C. Marín</t>
        </is>
      </c>
      <c r="F15" s="20" t="n">
        <v>14400</v>
      </c>
      <c r="G15" s="34" t="inlineStr">
        <is>
          <t>Ramped deal, year one</t>
        </is>
      </c>
    </row>
    <row r="16">
      <c r="A16" s="39" t="inlineStr">
        <is>
          <t>2024-11-12</t>
        </is>
      </c>
      <c r="B16" s="18" t="inlineStr">
        <is>
          <t>EMEA</t>
        </is>
      </c>
      <c r="C16" s="18" t="inlineStr">
        <is>
          <t>Signal Pro</t>
        </is>
      </c>
      <c r="D16" s="18" t="inlineStr">
        <is>
          <t>Enterprise</t>
        </is>
      </c>
      <c r="E16" s="18" t="inlineStr">
        <is>
          <t>J. Adeyemi</t>
        </is>
      </c>
      <c r="F16" s="20" t="n">
        <v>13500</v>
      </c>
      <c r="G16" s="34" t="inlineStr">
        <is>
          <t>Partner-sourced</t>
        </is>
      </c>
    </row>
    <row r="17">
      <c r="A17" s="39" t="inlineStr">
        <is>
          <t>2024-11-19</t>
        </is>
      </c>
      <c r="B17" s="18" t="inlineStr">
        <is>
          <t>EMEA</t>
        </is>
      </c>
      <c r="C17" s="18" t="inlineStr">
        <is>
          <t>Signal Core</t>
        </is>
      </c>
      <c r="D17" s="18" t="inlineStr">
        <is>
          <t>Enterprise</t>
        </is>
      </c>
      <c r="E17" s="18" t="inlineStr">
        <is>
          <t>B. Lindqvist</t>
        </is>
      </c>
      <c r="F17" s="20" t="n">
        <v>77900</v>
      </c>
      <c r="G17" s="34" t="inlineStr">
        <is>
          <t>Pilot converted</t>
        </is>
      </c>
    </row>
    <row r="18">
      <c r="A18" s="39" t="inlineStr">
        <is>
          <t>2024-11-26</t>
        </is>
      </c>
      <c r="B18" s="18" t="inlineStr">
        <is>
          <t>APAC</t>
        </is>
      </c>
      <c r="C18" s="18" t="inlineStr">
        <is>
          <t>Warehouse Connect</t>
        </is>
      </c>
      <c r="D18" s="18" t="inlineStr">
        <is>
          <t>SMB</t>
        </is>
      </c>
      <c r="E18" s="18" t="inlineStr">
        <is>
          <t>D. Chatterjee</t>
        </is>
      </c>
      <c r="F18" s="20" t="n">
        <v>60300</v>
      </c>
      <c r="G18" s="34" t="inlineStr">
        <is>
          <t>Standard list price</t>
        </is>
      </c>
    </row>
    <row r="19">
      <c r="A19" s="39" t="inlineStr">
        <is>
          <t>2024-11-03</t>
        </is>
      </c>
      <c r="B19" s="18" t="inlineStr">
        <is>
          <t>APAC</t>
        </is>
      </c>
      <c r="C19" s="18" t="inlineStr">
        <is>
          <t>Warehouse Connect</t>
        </is>
      </c>
      <c r="D19" s="18" t="inlineStr">
        <is>
          <t>Enterprise</t>
        </is>
      </c>
      <c r="E19" s="18" t="inlineStr">
        <is>
          <t>F. Duarte</t>
        </is>
      </c>
      <c r="F19" s="20" t="n">
        <v>70100</v>
      </c>
      <c r="G19" s="34" t="inlineStr">
        <is>
          <t>Pilot converted</t>
        </is>
      </c>
    </row>
    <row r="20">
      <c r="A20" s="39" t="inlineStr">
        <is>
          <t>2024-11-10</t>
        </is>
      </c>
      <c r="B20" s="18" t="inlineStr">
        <is>
          <t>LATAM</t>
        </is>
      </c>
      <c r="C20" s="18" t="inlineStr">
        <is>
          <t>Embedded Reports</t>
        </is>
      </c>
      <c r="D20" s="18" t="inlineStr">
        <is>
          <t>SMB</t>
        </is>
      </c>
      <c r="E20" s="18" t="inlineStr">
        <is>
          <t>B. Lindqvist</t>
        </is>
      </c>
      <c r="F20" s="20" t="n">
        <v>120300</v>
      </c>
      <c r="G20" s="34" t="inlineStr">
        <is>
          <t>Standard list price</t>
        </is>
      </c>
    </row>
    <row r="21">
      <c r="A21" s="39" t="inlineStr">
        <is>
          <t>2024-11-17</t>
        </is>
      </c>
      <c r="B21" s="18" t="inlineStr">
        <is>
          <t>APAC</t>
        </is>
      </c>
      <c r="C21" s="18" t="inlineStr">
        <is>
          <t>Signal Core</t>
        </is>
      </c>
      <c r="D21" s="18" t="inlineStr">
        <is>
          <t>Enterprise</t>
        </is>
      </c>
      <c r="E21" s="18" t="inlineStr">
        <is>
          <t>F. Duarte</t>
        </is>
      </c>
      <c r="F21" s="20" t="n">
        <v>38200</v>
      </c>
      <c r="G21" s="34" t="inlineStr">
        <is>
          <t>Partner-sourced</t>
        </is>
      </c>
    </row>
    <row r="22">
      <c r="A22" s="39" t="inlineStr">
        <is>
          <t>2024-11-24</t>
        </is>
      </c>
      <c r="B22" s="18" t="inlineStr">
        <is>
          <t>AMER West</t>
        </is>
      </c>
      <c r="C22" s="18" t="inlineStr">
        <is>
          <t>Signal Core</t>
        </is>
      </c>
      <c r="D22" s="18" t="inlineStr">
        <is>
          <t>Mid-market</t>
        </is>
      </c>
      <c r="E22" s="18" t="inlineStr">
        <is>
          <t>A. Okafor</t>
        </is>
      </c>
      <c r="F22" s="20" t="n">
        <v>70100</v>
      </c>
      <c r="G22" s="34" t="inlineStr">
        <is>
          <t>Partner-sourced</t>
        </is>
      </c>
    </row>
    <row r="23">
      <c r="A23" s="39" t="inlineStr">
        <is>
          <t>2024-11-01</t>
        </is>
      </c>
      <c r="B23" s="18" t="inlineStr">
        <is>
          <t>AMER West</t>
        </is>
      </c>
      <c r="C23" s="18" t="inlineStr">
        <is>
          <t>Signal Pro</t>
        </is>
      </c>
      <c r="D23" s="18" t="inlineStr">
        <is>
          <t>SMB</t>
        </is>
      </c>
      <c r="E23" s="18" t="inlineStr">
        <is>
          <t>E. Nakamura</t>
        </is>
      </c>
      <c r="F23" s="20" t="n">
        <v>70200</v>
      </c>
      <c r="G23" s="34" t="inlineStr">
        <is>
          <t>Partner-sourced</t>
        </is>
      </c>
    </row>
    <row r="24">
      <c r="A24" s="39" t="inlineStr">
        <is>
          <t>2024-11-08</t>
        </is>
      </c>
      <c r="B24" s="18" t="inlineStr">
        <is>
          <t>LATAM</t>
        </is>
      </c>
      <c r="C24" s="18" t="inlineStr">
        <is>
          <t>Embedded Reports</t>
        </is>
      </c>
      <c r="D24" s="18" t="inlineStr">
        <is>
          <t>SMB</t>
        </is>
      </c>
      <c r="E24" s="18" t="inlineStr">
        <is>
          <t>H. Vasquez</t>
        </is>
      </c>
      <c r="F24" s="20" t="n">
        <v>56700</v>
      </c>
      <c r="G24" s="34" t="inlineStr">
        <is>
          <t>Ramped deal, year one</t>
        </is>
      </c>
    </row>
    <row r="25">
      <c r="A25" s="39" t="inlineStr">
        <is>
          <t>2024-11-15</t>
        </is>
      </c>
      <c r="B25" s="18" t="inlineStr">
        <is>
          <t>AMER West</t>
        </is>
      </c>
      <c r="C25" s="18" t="inlineStr">
        <is>
          <t>Signal Pro</t>
        </is>
      </c>
      <c r="D25" s="18" t="inlineStr">
        <is>
          <t>Enterprise</t>
        </is>
      </c>
      <c r="E25" s="18" t="inlineStr">
        <is>
          <t>D. Chatterjee</t>
        </is>
      </c>
      <c r="F25" s="20" t="n">
        <v>26400</v>
      </c>
      <c r="G25" s="34" t="inlineStr">
        <is>
          <t>Ramped deal, year one</t>
        </is>
      </c>
    </row>
    <row r="26">
      <c r="A26" s="39" t="inlineStr">
        <is>
          <t>2024-11-22</t>
        </is>
      </c>
      <c r="B26" s="18" t="inlineStr">
        <is>
          <t>EMEA</t>
        </is>
      </c>
      <c r="C26" s="18" t="inlineStr">
        <is>
          <t>Signal Core</t>
        </is>
      </c>
      <c r="D26" s="18" t="inlineStr">
        <is>
          <t>SMB</t>
        </is>
      </c>
      <c r="E26" s="18" t="inlineStr">
        <is>
          <t>K. Sørensen</t>
        </is>
      </c>
      <c r="F26" s="20" t="n">
        <v>26400</v>
      </c>
      <c r="G26" s="34" t="inlineStr">
        <is>
          <t>Competitive displacement</t>
        </is>
      </c>
    </row>
    <row r="27">
      <c r="A27" s="39" t="inlineStr">
        <is>
          <t>2024-11-29</t>
        </is>
      </c>
      <c r="B27" s="18" t="inlineStr">
        <is>
          <t>APAC</t>
        </is>
      </c>
      <c r="C27" s="18" t="inlineStr">
        <is>
          <t>Signal Core</t>
        </is>
      </c>
      <c r="D27" s="18" t="inlineStr">
        <is>
          <t>Enterprise</t>
        </is>
      </c>
      <c r="E27" s="18" t="inlineStr">
        <is>
          <t>D. Chatterjee</t>
        </is>
      </c>
      <c r="F27" s="20" t="n">
        <v>20400</v>
      </c>
      <c r="G27" s="34" t="inlineStr">
        <is>
          <t>Co-term with parent</t>
        </is>
      </c>
    </row>
    <row r="28">
      <c r="A28" s="39" t="inlineStr">
        <is>
          <t>2024-11-06</t>
        </is>
      </c>
      <c r="B28" s="18" t="inlineStr">
        <is>
          <t>APAC</t>
        </is>
      </c>
      <c r="C28" s="18" t="inlineStr">
        <is>
          <t>Signal Pro</t>
        </is>
      </c>
      <c r="D28" s="18" t="inlineStr">
        <is>
          <t>Enterprise</t>
        </is>
      </c>
      <c r="E28" s="18" t="inlineStr">
        <is>
          <t>K. Sørensen</t>
        </is>
      </c>
      <c r="F28" s="20" t="n">
        <v>65900</v>
      </c>
      <c r="G28" s="34" t="inlineStr">
        <is>
          <t>Partner-sourced</t>
        </is>
      </c>
    </row>
    <row r="29">
      <c r="A29" s="39" t="inlineStr">
        <is>
          <t>2024-11-13</t>
        </is>
      </c>
      <c r="B29" s="18" t="inlineStr">
        <is>
          <t>APAC</t>
        </is>
      </c>
      <c r="C29" s="18" t="inlineStr">
        <is>
          <t>Alerts add-on</t>
        </is>
      </c>
      <c r="D29" s="18" t="inlineStr">
        <is>
          <t>SMB</t>
        </is>
      </c>
      <c r="E29" s="18" t="inlineStr">
        <is>
          <t>K. Sørensen</t>
        </is>
      </c>
      <c r="F29" s="20" t="n">
        <v>99600</v>
      </c>
      <c r="G29" s="34" t="inlineStr">
        <is>
          <t>Ramped deal, year one</t>
        </is>
      </c>
    </row>
    <row r="30">
      <c r="A30" s="39" t="inlineStr">
        <is>
          <t>2024-11-20</t>
        </is>
      </c>
      <c r="B30" s="18" t="inlineStr">
        <is>
          <t>LATAM</t>
        </is>
      </c>
      <c r="C30" s="18" t="inlineStr">
        <is>
          <t>Embedded Reports</t>
        </is>
      </c>
      <c r="D30" s="18" t="inlineStr">
        <is>
          <t>Mid-market</t>
        </is>
      </c>
      <c r="E30" s="18" t="inlineStr">
        <is>
          <t>D. Chatterjee</t>
        </is>
      </c>
      <c r="F30" s="20" t="n">
        <v>170100</v>
      </c>
      <c r="G30" s="34" t="inlineStr">
        <is>
          <t>Standard list price</t>
        </is>
      </c>
    </row>
    <row r="31">
      <c r="A31" s="39" t="inlineStr">
        <is>
          <t>2024-11-27</t>
        </is>
      </c>
      <c r="B31" s="18" t="inlineStr">
        <is>
          <t>AMER East</t>
        </is>
      </c>
      <c r="C31" s="18" t="inlineStr">
        <is>
          <t>Warehouse Connect</t>
        </is>
      </c>
      <c r="D31" s="18" t="inlineStr">
        <is>
          <t>Mid-market</t>
        </is>
      </c>
      <c r="E31" s="18" t="inlineStr">
        <is>
          <t>D. Chatterjee</t>
        </is>
      </c>
      <c r="F31" s="20" t="n">
        <v>36400</v>
      </c>
      <c r="G31" s="34" t="inlineStr">
        <is>
          <t>Competitive displacement</t>
        </is>
      </c>
    </row>
    <row r="32">
      <c r="A32" s="39" t="inlineStr">
        <is>
          <t>2024-11-04</t>
        </is>
      </c>
      <c r="B32" s="18" t="inlineStr">
        <is>
          <t>AMER West</t>
        </is>
      </c>
      <c r="C32" s="18" t="inlineStr">
        <is>
          <t>Embedded Reports</t>
        </is>
      </c>
      <c r="D32" s="18" t="inlineStr">
        <is>
          <t>Enterprise</t>
        </is>
      </c>
      <c r="E32" s="18" t="inlineStr">
        <is>
          <t>K. Sørensen</t>
        </is>
      </c>
      <c r="F32" s="20" t="n">
        <v>65400</v>
      </c>
      <c r="G32" s="34" t="inlineStr">
        <is>
          <t>Pilot converted</t>
        </is>
      </c>
    </row>
    <row r="33">
      <c r="A33" s="39" t="inlineStr">
        <is>
          <t>2024-11-11</t>
        </is>
      </c>
      <c r="B33" s="18" t="inlineStr">
        <is>
          <t>EMEA</t>
        </is>
      </c>
      <c r="C33" s="18" t="inlineStr">
        <is>
          <t>Signal Core</t>
        </is>
      </c>
      <c r="D33" s="18" t="inlineStr">
        <is>
          <t>SMB</t>
        </is>
      </c>
      <c r="E33" s="18" t="inlineStr">
        <is>
          <t>E. Nakamura</t>
        </is>
      </c>
      <c r="F33" s="20" t="n">
        <v>35000</v>
      </c>
      <c r="G33" s="34" t="inlineStr">
        <is>
          <t>Ramped deal, year one</t>
        </is>
      </c>
    </row>
    <row r="34">
      <c r="A34" s="39" t="inlineStr">
        <is>
          <t>2024-11-18</t>
        </is>
      </c>
      <c r="B34" s="18" t="inlineStr">
        <is>
          <t>EMEA</t>
        </is>
      </c>
      <c r="C34" s="18" t="inlineStr">
        <is>
          <t>Alerts add-on</t>
        </is>
      </c>
      <c r="D34" s="18" t="inlineStr">
        <is>
          <t>SMB</t>
        </is>
      </c>
      <c r="E34" s="18" t="inlineStr">
        <is>
          <t>G. Halloran</t>
        </is>
      </c>
      <c r="F34" s="20" t="n">
        <v>72900</v>
      </c>
      <c r="G34" s="34" t="inlineStr">
        <is>
          <t>Co-term with parent</t>
        </is>
      </c>
    </row>
    <row r="35">
      <c r="A35" s="39" t="inlineStr">
        <is>
          <t>2024-11-25</t>
        </is>
      </c>
      <c r="B35" s="18" t="inlineStr">
        <is>
          <t>AMER East</t>
        </is>
      </c>
      <c r="C35" s="18" t="inlineStr">
        <is>
          <t>Warehouse Connect</t>
        </is>
      </c>
      <c r="D35" s="18" t="inlineStr">
        <is>
          <t>Enterprise</t>
        </is>
      </c>
      <c r="E35" s="18" t="inlineStr">
        <is>
          <t>F. Duarte</t>
        </is>
      </c>
      <c r="F35" s="20" t="n">
        <v>62100</v>
      </c>
      <c r="G35" s="34" t="inlineStr">
        <is>
          <t>Co-term with parent</t>
        </is>
      </c>
    </row>
    <row r="36">
      <c r="A36" s="39" t="inlineStr">
        <is>
          <t>2024-11-02</t>
        </is>
      </c>
      <c r="B36" s="18" t="inlineStr">
        <is>
          <t>AMER East</t>
        </is>
      </c>
      <c r="C36" s="18" t="inlineStr">
        <is>
          <t>Signal Core</t>
        </is>
      </c>
      <c r="D36" s="18" t="inlineStr">
        <is>
          <t>Enterprise</t>
        </is>
      </c>
      <c r="E36" s="18" t="inlineStr">
        <is>
          <t>D. Chatterjee</t>
        </is>
      </c>
      <c r="F36" s="20" t="n">
        <v>6700</v>
      </c>
      <c r="G36" s="34" t="inlineStr">
        <is>
          <t>Co-term with parent</t>
        </is>
      </c>
    </row>
    <row r="37">
      <c r="A37" s="39" t="inlineStr">
        <is>
          <t>2024-11-09</t>
        </is>
      </c>
      <c r="B37" s="18" t="inlineStr">
        <is>
          <t>AMER East</t>
        </is>
      </c>
      <c r="C37" s="18" t="inlineStr">
        <is>
          <t>Warehouse Connect</t>
        </is>
      </c>
      <c r="D37" s="18" t="inlineStr">
        <is>
          <t>Mid-market</t>
        </is>
      </c>
      <c r="E37" s="18" t="inlineStr">
        <is>
          <t>D. Chatterjee</t>
        </is>
      </c>
      <c r="F37" s="20" t="n">
        <v>65800</v>
      </c>
      <c r="G37" s="34" t="inlineStr">
        <is>
          <t>Ramped deal, year one</t>
        </is>
      </c>
    </row>
    <row r="38">
      <c r="A38" s="39" t="inlineStr">
        <is>
          <t>2024-11-16</t>
        </is>
      </c>
      <c r="B38" s="18" t="inlineStr">
        <is>
          <t>APAC</t>
        </is>
      </c>
      <c r="C38" s="18" t="inlineStr">
        <is>
          <t>Alerts add-on</t>
        </is>
      </c>
      <c r="D38" s="18" t="inlineStr">
        <is>
          <t>Enterprise</t>
        </is>
      </c>
      <c r="E38" s="18" t="inlineStr">
        <is>
          <t>J. Adeyemi</t>
        </is>
      </c>
      <c r="F38" s="20" t="n">
        <v>107800</v>
      </c>
      <c r="G38" s="34" t="inlineStr">
        <is>
          <t>Pilot converted</t>
        </is>
      </c>
    </row>
    <row r="39">
      <c r="A39" s="39" t="inlineStr">
        <is>
          <t>2024-11-23</t>
        </is>
      </c>
      <c r="B39" s="18" t="inlineStr">
        <is>
          <t>AMER East</t>
        </is>
      </c>
      <c r="C39" s="18" t="inlineStr">
        <is>
          <t>Warehouse Connect</t>
        </is>
      </c>
      <c r="D39" s="18" t="inlineStr">
        <is>
          <t>Enterprise</t>
        </is>
      </c>
      <c r="E39" s="18" t="inlineStr">
        <is>
          <t>B. Lindqvist</t>
        </is>
      </c>
      <c r="F39" s="20" t="n">
        <v>46800</v>
      </c>
      <c r="G39" s="34" t="inlineStr">
        <is>
          <t>Pilot converted</t>
        </is>
      </c>
    </row>
    <row r="40">
      <c r="A40" s="39" t="inlineStr">
        <is>
          <t>2024-11-30</t>
        </is>
      </c>
      <c r="B40" s="18" t="inlineStr">
        <is>
          <t>AMER West</t>
        </is>
      </c>
      <c r="C40" s="18" t="inlineStr">
        <is>
          <t>Embedded Reports</t>
        </is>
      </c>
      <c r="D40" s="18" t="inlineStr">
        <is>
          <t>SMB</t>
        </is>
      </c>
      <c r="E40" s="18" t="inlineStr">
        <is>
          <t>A. Okafor</t>
        </is>
      </c>
      <c r="F40" s="20" t="n">
        <v>28000</v>
      </c>
      <c r="G40" s="34" t="inlineStr">
        <is>
          <t>Pilot converted</t>
        </is>
      </c>
    </row>
    <row r="41">
      <c r="A41" s="39" t="inlineStr">
        <is>
          <t>2024-11-07</t>
        </is>
      </c>
      <c r="B41" s="18" t="inlineStr">
        <is>
          <t>AMER East</t>
        </is>
      </c>
      <c r="C41" s="18" t="inlineStr">
        <is>
          <t>Alerts add-on</t>
        </is>
      </c>
      <c r="D41" s="18" t="inlineStr">
        <is>
          <t>SMB</t>
        </is>
      </c>
      <c r="E41" s="18" t="inlineStr">
        <is>
          <t>C. Marín</t>
        </is>
      </c>
      <c r="F41" s="20" t="n">
        <v>30700</v>
      </c>
      <c r="G41" s="34" t="inlineStr">
        <is>
          <t>Ramped deal, year one</t>
        </is>
      </c>
    </row>
    <row r="42">
      <c r="A42" s="39" t="inlineStr">
        <is>
          <t>2024-11-14</t>
        </is>
      </c>
      <c r="B42" s="18" t="inlineStr">
        <is>
          <t>AMER East</t>
        </is>
      </c>
      <c r="C42" s="18" t="inlineStr">
        <is>
          <t>Embedded Reports</t>
        </is>
      </c>
      <c r="D42" s="18" t="inlineStr">
        <is>
          <t>Mid-market</t>
        </is>
      </c>
      <c r="E42" s="18" t="inlineStr">
        <is>
          <t>E. Nakamura</t>
        </is>
      </c>
      <c r="F42" s="20" t="n">
        <v>85800</v>
      </c>
      <c r="G42" s="34" t="inlineStr">
        <is>
          <t>Ramped deal, year one</t>
        </is>
      </c>
    </row>
    <row r="43">
      <c r="A43" s="39" t="inlineStr">
        <is>
          <t>2024-11-21</t>
        </is>
      </c>
      <c r="B43" s="18" t="inlineStr">
        <is>
          <t>EMEA</t>
        </is>
      </c>
      <c r="C43" s="18" t="inlineStr">
        <is>
          <t>Signal Core</t>
        </is>
      </c>
      <c r="D43" s="18" t="inlineStr">
        <is>
          <t>Enterprise</t>
        </is>
      </c>
      <c r="E43" s="18" t="inlineStr">
        <is>
          <t>J. Adeyemi</t>
        </is>
      </c>
      <c r="F43" s="20" t="n">
        <v>37400</v>
      </c>
      <c r="G43" s="34" t="inlineStr">
        <is>
          <t>Partner-sourced</t>
        </is>
      </c>
    </row>
    <row r="44">
      <c r="A44" s="39" t="inlineStr">
        <is>
          <t>2024-11-28</t>
        </is>
      </c>
      <c r="B44" s="18" t="inlineStr">
        <is>
          <t>LATAM</t>
        </is>
      </c>
      <c r="C44" s="18" t="inlineStr">
        <is>
          <t>Alerts add-on</t>
        </is>
      </c>
      <c r="D44" s="18" t="inlineStr">
        <is>
          <t>Mid-market</t>
        </is>
      </c>
      <c r="E44" s="18" t="inlineStr">
        <is>
          <t>E. Nakamura</t>
        </is>
      </c>
      <c r="F44" s="20" t="n">
        <v>28000</v>
      </c>
      <c r="G44" s="34" t="inlineStr">
        <is>
          <t>Renewal uplift 7%</t>
        </is>
      </c>
    </row>
    <row r="45">
      <c r="A45" s="39" t="inlineStr">
        <is>
          <t>2024-11-05</t>
        </is>
      </c>
      <c r="B45" s="18" t="inlineStr">
        <is>
          <t>AMER West</t>
        </is>
      </c>
      <c r="C45" s="18" t="inlineStr">
        <is>
          <t>Embedded Reports</t>
        </is>
      </c>
      <c r="D45" s="18" t="inlineStr">
        <is>
          <t>Enterprise</t>
        </is>
      </c>
      <c r="E45" s="18" t="inlineStr">
        <is>
          <t>E. Nakamura</t>
        </is>
      </c>
      <c r="F45" s="20" t="n">
        <v>9700</v>
      </c>
      <c r="G45" s="34" t="inlineStr">
        <is>
          <t>Co-term with parent</t>
        </is>
      </c>
    </row>
    <row r="46">
      <c r="A46" s="39" t="inlineStr">
        <is>
          <t>2024-11-12</t>
        </is>
      </c>
      <c r="B46" s="18" t="inlineStr">
        <is>
          <t>APAC</t>
        </is>
      </c>
      <c r="C46" s="18" t="inlineStr">
        <is>
          <t>Alerts add-on</t>
        </is>
      </c>
      <c r="D46" s="18" t="inlineStr">
        <is>
          <t>Enterprise</t>
        </is>
      </c>
      <c r="E46" s="18" t="inlineStr">
        <is>
          <t>G. Halloran</t>
        </is>
      </c>
      <c r="F46" s="20" t="n">
        <v>17500</v>
      </c>
      <c r="G46" s="34" t="inlineStr">
        <is>
          <t>Co-term with parent</t>
        </is>
      </c>
    </row>
    <row r="47">
      <c r="A47" s="39" t="inlineStr">
        <is>
          <t>2024-11-19</t>
        </is>
      </c>
      <c r="B47" s="18" t="inlineStr">
        <is>
          <t>APAC</t>
        </is>
      </c>
      <c r="C47" s="18" t="inlineStr">
        <is>
          <t>Warehouse Connect</t>
        </is>
      </c>
      <c r="D47" s="18" t="inlineStr">
        <is>
          <t>Mid-market</t>
        </is>
      </c>
      <c r="E47" s="18" t="inlineStr">
        <is>
          <t>H. Vasquez</t>
        </is>
      </c>
      <c r="F47" s="20" t="n">
        <v>128700</v>
      </c>
      <c r="G47" s="34" t="inlineStr">
        <is>
          <t>Partner-sourced</t>
        </is>
      </c>
    </row>
    <row r="48">
      <c r="A48" s="39" t="inlineStr">
        <is>
          <t>2024-11-26</t>
        </is>
      </c>
      <c r="B48" s="18" t="inlineStr">
        <is>
          <t>LATAM</t>
        </is>
      </c>
      <c r="C48" s="18" t="inlineStr">
        <is>
          <t>Signal Pro</t>
        </is>
      </c>
      <c r="D48" s="18" t="inlineStr">
        <is>
          <t>Enterprise</t>
        </is>
      </c>
      <c r="E48" s="18" t="inlineStr">
        <is>
          <t>C. Marín</t>
        </is>
      </c>
      <c r="F48" s="20" t="n">
        <v>52200</v>
      </c>
      <c r="G48" s="34" t="inlineStr">
        <is>
          <t>Co-term with parent</t>
        </is>
      </c>
    </row>
    <row r="49">
      <c r="A49" s="39" t="inlineStr">
        <is>
          <t>2024-11-03</t>
        </is>
      </c>
      <c r="B49" s="18" t="inlineStr">
        <is>
          <t>AMER East</t>
        </is>
      </c>
      <c r="C49" s="18" t="inlineStr">
        <is>
          <t>Alerts add-on</t>
        </is>
      </c>
      <c r="D49" s="18" t="inlineStr">
        <is>
          <t>Enterprise</t>
        </is>
      </c>
      <c r="E49" s="18" t="inlineStr">
        <is>
          <t>E. Nakamura</t>
        </is>
      </c>
      <c r="F49" s="20" t="n">
        <v>45900</v>
      </c>
      <c r="G49" s="34" t="inlineStr">
        <is>
          <t>Renewal uplift 7%</t>
        </is>
      </c>
    </row>
    <row r="50">
      <c r="A50" s="39" t="inlineStr">
        <is>
          <t>2024-11-10</t>
        </is>
      </c>
      <c r="B50" s="18" t="inlineStr">
        <is>
          <t>AMER East</t>
        </is>
      </c>
      <c r="C50" s="18" t="inlineStr">
        <is>
          <t>Signal Core</t>
        </is>
      </c>
      <c r="D50" s="18" t="inlineStr">
        <is>
          <t>Enterprise</t>
        </is>
      </c>
      <c r="E50" s="18" t="inlineStr">
        <is>
          <t>F. Duarte</t>
        </is>
      </c>
      <c r="F50" s="20" t="n">
        <v>67700</v>
      </c>
      <c r="G50" s="34" t="inlineStr">
        <is>
          <t>Multi-year prepay</t>
        </is>
      </c>
    </row>
    <row r="51">
      <c r="A51" s="39" t="inlineStr">
        <is>
          <t>2024-11-17</t>
        </is>
      </c>
      <c r="B51" s="18" t="inlineStr">
        <is>
          <t>LATAM</t>
        </is>
      </c>
      <c r="C51" s="18" t="inlineStr">
        <is>
          <t>Signal Core</t>
        </is>
      </c>
      <c r="D51" s="18" t="inlineStr">
        <is>
          <t>Enterprise</t>
        </is>
      </c>
      <c r="E51" s="18" t="inlineStr">
        <is>
          <t>D. Chatterjee</t>
        </is>
      </c>
      <c r="F51" s="20" t="n">
        <v>28300</v>
      </c>
      <c r="G51" s="34" t="inlineStr">
        <is>
          <t>Ramped deal, year one</t>
        </is>
      </c>
    </row>
    <row r="52">
      <c r="A52" s="39" t="inlineStr">
        <is>
          <t>2024-11-24</t>
        </is>
      </c>
      <c r="B52" s="18" t="inlineStr">
        <is>
          <t>AMER West</t>
        </is>
      </c>
      <c r="C52" s="18" t="inlineStr">
        <is>
          <t>Signal Core</t>
        </is>
      </c>
      <c r="D52" s="18" t="inlineStr">
        <is>
          <t>Enterprise</t>
        </is>
      </c>
      <c r="E52" s="18" t="inlineStr">
        <is>
          <t>K. Sørensen</t>
        </is>
      </c>
      <c r="F52" s="20" t="n">
        <v>61200</v>
      </c>
      <c r="G52" s="34" t="inlineStr">
        <is>
          <t>Standard list price</t>
        </is>
      </c>
    </row>
    <row r="53">
      <c r="A53" s="39" t="inlineStr">
        <is>
          <t>2024-11-01</t>
        </is>
      </c>
      <c r="B53" s="18" t="inlineStr">
        <is>
          <t>APAC</t>
        </is>
      </c>
      <c r="C53" s="18" t="inlineStr">
        <is>
          <t>Warehouse Connect</t>
        </is>
      </c>
      <c r="D53" s="18" t="inlineStr">
        <is>
          <t>Enterprise</t>
        </is>
      </c>
      <c r="E53" s="18" t="inlineStr">
        <is>
          <t>B. Lindqvist</t>
        </is>
      </c>
      <c r="F53" s="20" t="n">
        <v>24900</v>
      </c>
      <c r="G53" s="34" t="inlineStr">
        <is>
          <t>Renewal uplift 7%</t>
        </is>
      </c>
    </row>
    <row r="54">
      <c r="A54" s="39" t="inlineStr">
        <is>
          <t>2024-11-08</t>
        </is>
      </c>
      <c r="B54" s="18" t="inlineStr">
        <is>
          <t>AMER West</t>
        </is>
      </c>
      <c r="C54" s="18" t="inlineStr">
        <is>
          <t>Warehouse Connect</t>
        </is>
      </c>
      <c r="D54" s="18" t="inlineStr">
        <is>
          <t>Enterprise</t>
        </is>
      </c>
      <c r="E54" s="18" t="inlineStr">
        <is>
          <t>B. Lindqvist</t>
        </is>
      </c>
      <c r="F54" s="20" t="n">
        <v>17300</v>
      </c>
      <c r="G54" s="34" t="inlineStr">
        <is>
          <t>Standard list price</t>
        </is>
      </c>
    </row>
    <row r="55">
      <c r="A55" s="39" t="inlineStr">
        <is>
          <t>2024-11-15</t>
        </is>
      </c>
      <c r="B55" s="18" t="inlineStr">
        <is>
          <t>AMER East</t>
        </is>
      </c>
      <c r="C55" s="18" t="inlineStr">
        <is>
          <t>Signal Core</t>
        </is>
      </c>
      <c r="D55" s="18" t="inlineStr">
        <is>
          <t>Mid-market</t>
        </is>
      </c>
      <c r="E55" s="18" t="inlineStr">
        <is>
          <t>A. Okafor</t>
        </is>
      </c>
      <c r="F55" s="20" t="n">
        <v>62700</v>
      </c>
      <c r="G55" s="34" t="inlineStr">
        <is>
          <t>Multi-year prepay</t>
        </is>
      </c>
    </row>
    <row r="56">
      <c r="A56" s="39" t="inlineStr">
        <is>
          <t>2024-11-22</t>
        </is>
      </c>
      <c r="B56" s="18" t="inlineStr">
        <is>
          <t>LATAM</t>
        </is>
      </c>
      <c r="C56" s="18" t="inlineStr">
        <is>
          <t>Embedded Reports</t>
        </is>
      </c>
      <c r="D56" s="18" t="inlineStr">
        <is>
          <t>Mid-market</t>
        </is>
      </c>
      <c r="E56" s="18" t="inlineStr">
        <is>
          <t>H. Vasquez</t>
        </is>
      </c>
      <c r="F56" s="20" t="n">
        <v>24000</v>
      </c>
      <c r="G56" s="34" t="inlineStr">
        <is>
          <t>Ramped deal, year one</t>
        </is>
      </c>
    </row>
    <row r="57">
      <c r="A57" s="39" t="inlineStr">
        <is>
          <t>2024-11-29</t>
        </is>
      </c>
      <c r="B57" s="18" t="inlineStr">
        <is>
          <t>EMEA</t>
        </is>
      </c>
      <c r="C57" s="18" t="inlineStr">
        <is>
          <t>Signal Pro</t>
        </is>
      </c>
      <c r="D57" s="18" t="inlineStr">
        <is>
          <t>Mid-market</t>
        </is>
      </c>
      <c r="E57" s="18" t="inlineStr">
        <is>
          <t>D. Chatterjee</t>
        </is>
      </c>
      <c r="F57" s="20" t="n">
        <v>56400</v>
      </c>
      <c r="G57" s="34" t="inlineStr">
        <is>
          <t>Partner-sourced</t>
        </is>
      </c>
    </row>
    <row r="58">
      <c r="A58" s="39" t="inlineStr">
        <is>
          <t>2024-11-06</t>
        </is>
      </c>
      <c r="B58" s="18" t="inlineStr">
        <is>
          <t>AMER East</t>
        </is>
      </c>
      <c r="C58" s="18" t="inlineStr">
        <is>
          <t>Signal Pro</t>
        </is>
      </c>
      <c r="D58" s="18" t="inlineStr">
        <is>
          <t>Mid-market</t>
        </is>
      </c>
      <c r="E58" s="18" t="inlineStr">
        <is>
          <t>A. Okafor</t>
        </is>
      </c>
      <c r="F58" s="20" t="n">
        <v>55000</v>
      </c>
      <c r="G58" s="34" t="inlineStr">
        <is>
          <t>Ramped deal, year one</t>
        </is>
      </c>
    </row>
    <row r="59">
      <c r="A59" s="39" t="inlineStr">
        <is>
          <t>2024-11-13</t>
        </is>
      </c>
      <c r="B59" s="18" t="inlineStr">
        <is>
          <t>LATAM</t>
        </is>
      </c>
      <c r="C59" s="18" t="inlineStr">
        <is>
          <t>Embedded Reports</t>
        </is>
      </c>
      <c r="D59" s="18" t="inlineStr">
        <is>
          <t>SMB</t>
        </is>
      </c>
      <c r="E59" s="18" t="inlineStr">
        <is>
          <t>D. Chatterjee</t>
        </is>
      </c>
      <c r="F59" s="20" t="n">
        <v>61200</v>
      </c>
      <c r="G59" s="34" t="inlineStr">
        <is>
          <t>Partner-sourced</t>
        </is>
      </c>
    </row>
    <row r="60">
      <c r="A60" s="39" t="inlineStr">
        <is>
          <t>2024-11-20</t>
        </is>
      </c>
      <c r="B60" s="18" t="inlineStr">
        <is>
          <t>AMER West</t>
        </is>
      </c>
      <c r="C60" s="18" t="inlineStr">
        <is>
          <t>Embedded Reports</t>
        </is>
      </c>
      <c r="D60" s="18" t="inlineStr">
        <is>
          <t>Mid-market</t>
        </is>
      </c>
      <c r="E60" s="18" t="inlineStr">
        <is>
          <t>C. Marín</t>
        </is>
      </c>
      <c r="F60" s="20" t="n">
        <v>94200</v>
      </c>
      <c r="G60" s="34" t="inlineStr">
        <is>
          <t>Ramped deal, year one</t>
        </is>
      </c>
    </row>
    <row r="61">
      <c r="A61" s="39" t="inlineStr">
        <is>
          <t>2024-11-27</t>
        </is>
      </c>
      <c r="B61" s="18" t="inlineStr">
        <is>
          <t>APAC</t>
        </is>
      </c>
      <c r="C61" s="18" t="inlineStr">
        <is>
          <t>Alerts add-on</t>
        </is>
      </c>
      <c r="D61" s="18" t="inlineStr">
        <is>
          <t>Mid-market</t>
        </is>
      </c>
      <c r="E61" s="18" t="inlineStr">
        <is>
          <t>A. Okafor</t>
        </is>
      </c>
      <c r="F61" s="20" t="n">
        <v>149400</v>
      </c>
      <c r="G61" s="34" t="inlineStr">
        <is>
          <t>Competitive displacement</t>
        </is>
      </c>
    </row>
    <row r="62">
      <c r="A62" s="39" t="inlineStr">
        <is>
          <t>2024-11-04</t>
        </is>
      </c>
      <c r="B62" s="18" t="inlineStr">
        <is>
          <t>AMER East</t>
        </is>
      </c>
      <c r="C62" s="18" t="inlineStr">
        <is>
          <t>Embedded Reports</t>
        </is>
      </c>
      <c r="D62" s="18" t="inlineStr">
        <is>
          <t>Mid-market</t>
        </is>
      </c>
      <c r="E62" s="18" t="inlineStr">
        <is>
          <t>G. Halloran</t>
        </is>
      </c>
      <c r="F62" s="20" t="n">
        <v>55300</v>
      </c>
      <c r="G62" s="34" t="inlineStr">
        <is>
          <t>Partner-sourced</t>
        </is>
      </c>
    </row>
    <row r="63">
      <c r="A63" s="39" t="inlineStr">
        <is>
          <t>2024-11-11</t>
        </is>
      </c>
      <c r="B63" s="18" t="inlineStr">
        <is>
          <t>AMER West</t>
        </is>
      </c>
      <c r="C63" s="18" t="inlineStr">
        <is>
          <t>Warehouse Connect</t>
        </is>
      </c>
      <c r="D63" s="18" t="inlineStr">
        <is>
          <t>Mid-market</t>
        </is>
      </c>
      <c r="E63" s="18" t="inlineStr">
        <is>
          <t>K. Sørensen</t>
        </is>
      </c>
      <c r="F63" s="20" t="n">
        <v>26600</v>
      </c>
      <c r="G63" s="34" t="inlineStr">
        <is>
          <t>Multi-year prepay</t>
        </is>
      </c>
    </row>
    <row r="64">
      <c r="A64" s="39" t="inlineStr">
        <is>
          <t>2024-11-18</t>
        </is>
      </c>
      <c r="B64" s="18" t="inlineStr">
        <is>
          <t>AMER West</t>
        </is>
      </c>
      <c r="C64" s="18" t="inlineStr">
        <is>
          <t>Alerts add-on</t>
        </is>
      </c>
      <c r="D64" s="18" t="inlineStr">
        <is>
          <t>Mid-market</t>
        </is>
      </c>
      <c r="E64" s="18" t="inlineStr">
        <is>
          <t>H. Vasquez</t>
        </is>
      </c>
      <c r="F64" s="20" t="n">
        <v>186300</v>
      </c>
      <c r="G64" s="34" t="inlineStr">
        <is>
          <t>Standard list price</t>
        </is>
      </c>
    </row>
    <row r="65">
      <c r="A65" s="39" t="inlineStr">
        <is>
          <t>2024-11-25</t>
        </is>
      </c>
      <c r="B65" s="18" t="inlineStr">
        <is>
          <t>AMER East</t>
        </is>
      </c>
      <c r="C65" s="18" t="inlineStr">
        <is>
          <t>Signal Pro</t>
        </is>
      </c>
      <c r="D65" s="18" t="inlineStr">
        <is>
          <t>Enterprise</t>
        </is>
      </c>
      <c r="E65" s="18" t="inlineStr">
        <is>
          <t>J. Adeyemi</t>
        </is>
      </c>
      <c r="F65" s="20" t="n">
        <v>112200</v>
      </c>
      <c r="G65" s="34" t="inlineStr">
        <is>
          <t>Co-term with parent</t>
        </is>
      </c>
    </row>
    <row r="66">
      <c r="A66" s="39" t="inlineStr">
        <is>
          <t>2024-11-02</t>
        </is>
      </c>
      <c r="B66" s="18" t="inlineStr">
        <is>
          <t>AMER East</t>
        </is>
      </c>
      <c r="C66" s="18" t="inlineStr">
        <is>
          <t>Signal Core</t>
        </is>
      </c>
      <c r="D66" s="18" t="inlineStr">
        <is>
          <t>Enterprise</t>
        </is>
      </c>
      <c r="E66" s="18" t="inlineStr">
        <is>
          <t>C. Marín</t>
        </is>
      </c>
      <c r="F66" s="20" t="n">
        <v>32000</v>
      </c>
      <c r="G66" s="34" t="inlineStr">
        <is>
          <t>Pilot converted</t>
        </is>
      </c>
    </row>
    <row r="67">
      <c r="A67" s="39" t="inlineStr">
        <is>
          <t>2024-11-09</t>
        </is>
      </c>
      <c r="B67" s="18" t="inlineStr">
        <is>
          <t>EMEA</t>
        </is>
      </c>
      <c r="C67" s="18" t="inlineStr">
        <is>
          <t>Embedded Reports</t>
        </is>
      </c>
      <c r="D67" s="18" t="inlineStr">
        <is>
          <t>SMB</t>
        </is>
      </c>
      <c r="E67" s="18" t="inlineStr">
        <is>
          <t>K. Sørensen</t>
        </is>
      </c>
      <c r="F67" s="20" t="n">
        <v>76900</v>
      </c>
      <c r="G67" s="34" t="inlineStr">
        <is>
          <t>Partner-sourced</t>
        </is>
      </c>
    </row>
    <row r="68">
      <c r="A68" s="39" t="inlineStr">
        <is>
          <t>2024-11-16</t>
        </is>
      </c>
      <c r="B68" s="18" t="inlineStr">
        <is>
          <t>APAC</t>
        </is>
      </c>
      <c r="C68" s="18" t="inlineStr">
        <is>
          <t>Signal Pro</t>
        </is>
      </c>
      <c r="D68" s="18" t="inlineStr">
        <is>
          <t>Mid-market</t>
        </is>
      </c>
      <c r="E68" s="18" t="inlineStr">
        <is>
          <t>B. Lindqvist</t>
        </is>
      </c>
      <c r="F68" s="20" t="n">
        <v>48300</v>
      </c>
      <c r="G68" s="34" t="inlineStr">
        <is>
          <t>Pilot converted</t>
        </is>
      </c>
    </row>
    <row r="69">
      <c r="A69" s="39" t="inlineStr">
        <is>
          <t>2024-11-23</t>
        </is>
      </c>
      <c r="B69" s="18" t="inlineStr">
        <is>
          <t>EMEA</t>
        </is>
      </c>
      <c r="C69" s="18" t="inlineStr">
        <is>
          <t>Warehouse Connect</t>
        </is>
      </c>
      <c r="D69" s="18" t="inlineStr">
        <is>
          <t>Enterprise</t>
        </is>
      </c>
      <c r="E69" s="18" t="inlineStr">
        <is>
          <t>F. Duarte</t>
        </is>
      </c>
      <c r="F69" s="20" t="n">
        <v>60600</v>
      </c>
      <c r="G69" s="34" t="inlineStr">
        <is>
          <t>Ramped deal, year one</t>
        </is>
      </c>
    </row>
    <row r="70">
      <c r="A70" s="39" t="inlineStr">
        <is>
          <t>2024-11-30</t>
        </is>
      </c>
      <c r="B70" s="18" t="inlineStr">
        <is>
          <t>APAC</t>
        </is>
      </c>
      <c r="C70" s="18" t="inlineStr">
        <is>
          <t>Embedded Reports</t>
        </is>
      </c>
      <c r="D70" s="18" t="inlineStr">
        <is>
          <t>Mid-market</t>
        </is>
      </c>
      <c r="E70" s="18" t="inlineStr">
        <is>
          <t>A. Okafor</t>
        </is>
      </c>
      <c r="F70" s="20" t="n">
        <v>44200</v>
      </c>
      <c r="G70" s="34" t="inlineStr">
        <is>
          <t>Partner-sourced</t>
        </is>
      </c>
    </row>
    <row r="71">
      <c r="A71" s="39" t="inlineStr">
        <is>
          <t>2024-11-07</t>
        </is>
      </c>
      <c r="B71" s="18" t="inlineStr">
        <is>
          <t>EMEA</t>
        </is>
      </c>
      <c r="C71" s="18" t="inlineStr">
        <is>
          <t>Warehouse Connect</t>
        </is>
      </c>
      <c r="D71" s="18" t="inlineStr">
        <is>
          <t>Enterprise</t>
        </is>
      </c>
      <c r="E71" s="18" t="inlineStr">
        <is>
          <t>K. Sørensen</t>
        </is>
      </c>
      <c r="F71" s="20" t="n">
        <v>13300</v>
      </c>
      <c r="G71" s="34" t="inlineStr">
        <is>
          <t>Partner-sourced</t>
        </is>
      </c>
    </row>
    <row r="72">
      <c r="A72" s="39" t="inlineStr">
        <is>
          <t>2024-11-14</t>
        </is>
      </c>
      <c r="B72" s="18" t="inlineStr">
        <is>
          <t>AMER West</t>
        </is>
      </c>
      <c r="C72" s="18" t="inlineStr">
        <is>
          <t>Signal Core</t>
        </is>
      </c>
      <c r="D72" s="18" t="inlineStr">
        <is>
          <t>Mid-market</t>
        </is>
      </c>
      <c r="E72" s="18" t="inlineStr">
        <is>
          <t>A. Okafor</t>
        </is>
      </c>
      <c r="F72" s="20" t="n">
        <v>66300</v>
      </c>
      <c r="G72" s="34" t="inlineStr">
        <is>
          <t>Renewal uplift 7%</t>
        </is>
      </c>
    </row>
    <row r="73">
      <c r="A73" s="39" t="inlineStr">
        <is>
          <t>2024-11-21</t>
        </is>
      </c>
      <c r="B73" s="18" t="inlineStr">
        <is>
          <t>AMER East</t>
        </is>
      </c>
      <c r="C73" s="18" t="inlineStr">
        <is>
          <t>Signal Pro</t>
        </is>
      </c>
      <c r="D73" s="18" t="inlineStr">
        <is>
          <t>Mid-market</t>
        </is>
      </c>
      <c r="E73" s="18" t="inlineStr">
        <is>
          <t>C. Marín</t>
        </is>
      </c>
      <c r="F73" s="20" t="n">
        <v>33400</v>
      </c>
      <c r="G73" s="34" t="inlineStr">
        <is>
          <t>Pilot converted</t>
        </is>
      </c>
    </row>
    <row r="74">
      <c r="A74" s="39" t="inlineStr">
        <is>
          <t>2024-11-28</t>
        </is>
      </c>
      <c r="B74" s="18" t="inlineStr">
        <is>
          <t>AMER East</t>
        </is>
      </c>
      <c r="C74" s="18" t="inlineStr">
        <is>
          <t>Warehouse Connect</t>
        </is>
      </c>
      <c r="D74" s="18" t="inlineStr">
        <is>
          <t>SMB</t>
        </is>
      </c>
      <c r="E74" s="18" t="inlineStr">
        <is>
          <t>C. Marín</t>
        </is>
      </c>
      <c r="F74" s="20" t="n">
        <v>37400</v>
      </c>
      <c r="G74" s="34" t="inlineStr">
        <is>
          <t>Competitive displacement</t>
        </is>
      </c>
    </row>
    <row r="75">
      <c r="A75" s="39" t="inlineStr">
        <is>
          <t>2024-11-05</t>
        </is>
      </c>
      <c r="B75" s="18" t="inlineStr">
        <is>
          <t>APAC</t>
        </is>
      </c>
      <c r="C75" s="18" t="inlineStr">
        <is>
          <t>Signal Core</t>
        </is>
      </c>
      <c r="D75" s="18" t="inlineStr">
        <is>
          <t>SMB</t>
        </is>
      </c>
      <c r="E75" s="18" t="inlineStr">
        <is>
          <t>A. Okafor</t>
        </is>
      </c>
      <c r="F75" s="20" t="n">
        <v>177900</v>
      </c>
      <c r="G75" s="34" t="inlineStr">
        <is>
          <t>Co-term with parent</t>
        </is>
      </c>
    </row>
    <row r="76">
      <c r="A76" s="39" t="inlineStr">
        <is>
          <t>2024-11-12</t>
        </is>
      </c>
      <c r="B76" s="18" t="inlineStr">
        <is>
          <t>AMER East</t>
        </is>
      </c>
      <c r="C76" s="18" t="inlineStr">
        <is>
          <t>Signal Pro</t>
        </is>
      </c>
      <c r="D76" s="18" t="inlineStr">
        <is>
          <t>Enterprise</t>
        </is>
      </c>
      <c r="E76" s="18" t="inlineStr">
        <is>
          <t>F. Duarte</t>
        </is>
      </c>
      <c r="F76" s="20" t="n">
        <v>39900</v>
      </c>
      <c r="G76" s="34" t="inlineStr">
        <is>
          <t>Pilot converted</t>
        </is>
      </c>
    </row>
    <row r="77">
      <c r="A77" s="39" t="inlineStr">
        <is>
          <t>2024-11-19</t>
        </is>
      </c>
      <c r="B77" s="18" t="inlineStr">
        <is>
          <t>AMER East</t>
        </is>
      </c>
      <c r="C77" s="18" t="inlineStr">
        <is>
          <t>Signal Pro</t>
        </is>
      </c>
      <c r="D77" s="18" t="inlineStr">
        <is>
          <t>Mid-market</t>
        </is>
      </c>
      <c r="E77" s="18" t="inlineStr">
        <is>
          <t>C. Marín</t>
        </is>
      </c>
      <c r="F77" s="20" t="n">
        <v>69000</v>
      </c>
      <c r="G77" s="34" t="inlineStr">
        <is>
          <t>Multi-year prepay</t>
        </is>
      </c>
    </row>
    <row r="78">
      <c r="A78" s="39" t="inlineStr">
        <is>
          <t>2024-11-26</t>
        </is>
      </c>
      <c r="B78" s="18" t="inlineStr">
        <is>
          <t>EMEA</t>
        </is>
      </c>
      <c r="C78" s="18" t="inlineStr">
        <is>
          <t>Alerts add-on</t>
        </is>
      </c>
      <c r="D78" s="18" t="inlineStr">
        <is>
          <t>SMB</t>
        </is>
      </c>
      <c r="E78" s="18" t="inlineStr">
        <is>
          <t>E. Nakamura</t>
        </is>
      </c>
      <c r="F78" s="20" t="n">
        <v>24700</v>
      </c>
      <c r="G78" s="34" t="inlineStr">
        <is>
          <t>Multi-year prepay</t>
        </is>
      </c>
    </row>
    <row r="79">
      <c r="A79" s="39" t="inlineStr">
        <is>
          <t>2024-11-03</t>
        </is>
      </c>
      <c r="B79" s="18" t="inlineStr">
        <is>
          <t>AMER East</t>
        </is>
      </c>
      <c r="C79" s="18" t="inlineStr">
        <is>
          <t>Embedded Reports</t>
        </is>
      </c>
      <c r="D79" s="18" t="inlineStr">
        <is>
          <t>SMB</t>
        </is>
      </c>
      <c r="E79" s="18" t="inlineStr">
        <is>
          <t>E. Nakamura</t>
        </is>
      </c>
      <c r="F79" s="20" t="n">
        <v>219900</v>
      </c>
      <c r="G79" s="34" t="inlineStr">
        <is>
          <t>Renewal uplift 7%</t>
        </is>
      </c>
    </row>
    <row r="80">
      <c r="A80" s="39" t="inlineStr">
        <is>
          <t>2024-11-10</t>
        </is>
      </c>
      <c r="B80" s="18" t="inlineStr">
        <is>
          <t>EMEA</t>
        </is>
      </c>
      <c r="C80" s="18" t="inlineStr">
        <is>
          <t>Signal Pro</t>
        </is>
      </c>
      <c r="D80" s="18" t="inlineStr">
        <is>
          <t>Mid-market</t>
        </is>
      </c>
      <c r="E80" s="18" t="inlineStr">
        <is>
          <t>G. Halloran</t>
        </is>
      </c>
      <c r="F80" s="20" t="n">
        <v>70600</v>
      </c>
      <c r="G80" s="34" t="inlineStr">
        <is>
          <t>Ramped deal, year one</t>
        </is>
      </c>
    </row>
    <row r="81">
      <c r="A81" s="39" t="inlineStr">
        <is>
          <t>2024-11-17</t>
        </is>
      </c>
      <c r="B81" s="18" t="inlineStr">
        <is>
          <t>APAC</t>
        </is>
      </c>
      <c r="C81" s="18" t="inlineStr">
        <is>
          <t>Warehouse Connect</t>
        </is>
      </c>
      <c r="D81" s="18" t="inlineStr">
        <is>
          <t>Enterprise</t>
        </is>
      </c>
      <c r="E81" s="18" t="inlineStr">
        <is>
          <t>F. Duarte</t>
        </is>
      </c>
      <c r="F81" s="20" t="n">
        <v>17900</v>
      </c>
      <c r="G81" s="34" t="inlineStr">
        <is>
          <t>Ramped deal, year one</t>
        </is>
      </c>
    </row>
    <row r="82">
      <c r="A82" s="39" t="inlineStr">
        <is>
          <t>2024-11-24</t>
        </is>
      </c>
      <c r="B82" s="18" t="inlineStr">
        <is>
          <t>AMER West</t>
        </is>
      </c>
      <c r="C82" s="18" t="inlineStr">
        <is>
          <t>Alerts add-on</t>
        </is>
      </c>
      <c r="D82" s="18" t="inlineStr">
        <is>
          <t>Enterprise</t>
        </is>
      </c>
      <c r="E82" s="18" t="inlineStr">
        <is>
          <t>F. Duarte</t>
        </is>
      </c>
      <c r="F82" s="20" t="n">
        <v>15400</v>
      </c>
      <c r="G82" s="34" t="inlineStr">
        <is>
          <t>Co-term with parent</t>
        </is>
      </c>
    </row>
    <row r="83">
      <c r="A83" s="39" t="inlineStr">
        <is>
          <t>2024-11-01</t>
        </is>
      </c>
      <c r="B83" s="18" t="inlineStr">
        <is>
          <t>AMER West</t>
        </is>
      </c>
      <c r="C83" s="18" t="inlineStr">
        <is>
          <t>Alerts add-on</t>
        </is>
      </c>
      <c r="D83" s="18" t="inlineStr">
        <is>
          <t>SMB</t>
        </is>
      </c>
      <c r="E83" s="18" t="inlineStr">
        <is>
          <t>J. Adeyemi</t>
        </is>
      </c>
      <c r="F83" s="20" t="n">
        <v>203700</v>
      </c>
      <c r="G83" s="34" t="inlineStr">
        <is>
          <t>Renewal uplift 7%</t>
        </is>
      </c>
    </row>
    <row r="84">
      <c r="A84" s="39" t="inlineStr">
        <is>
          <t>2024-11-08</t>
        </is>
      </c>
      <c r="B84" s="18" t="inlineStr">
        <is>
          <t>EMEA</t>
        </is>
      </c>
      <c r="C84" s="18" t="inlineStr">
        <is>
          <t>Signal Core</t>
        </is>
      </c>
      <c r="D84" s="18" t="inlineStr">
        <is>
          <t>Mid-market</t>
        </is>
      </c>
      <c r="E84" s="18" t="inlineStr">
        <is>
          <t>K. Sørensen</t>
        </is>
      </c>
      <c r="F84" s="20" t="n">
        <v>45500</v>
      </c>
      <c r="G84" s="34" t="inlineStr">
        <is>
          <t>Pilot converted</t>
        </is>
      </c>
    </row>
    <row r="85">
      <c r="A85" s="39" t="inlineStr">
        <is>
          <t>2024-11-15</t>
        </is>
      </c>
      <c r="B85" s="18" t="inlineStr">
        <is>
          <t>AMER East</t>
        </is>
      </c>
      <c r="C85" s="18" t="inlineStr">
        <is>
          <t>Signal Pro</t>
        </is>
      </c>
      <c r="D85" s="18" t="inlineStr">
        <is>
          <t>Mid-market</t>
        </is>
      </c>
      <c r="E85" s="18" t="inlineStr">
        <is>
          <t>D. Chatterjee</t>
        </is>
      </c>
      <c r="F85" s="20" t="n">
        <v>25200</v>
      </c>
      <c r="G85" s="34" t="inlineStr">
        <is>
          <t>Co-term with parent</t>
        </is>
      </c>
    </row>
    <row r="86">
      <c r="A86" s="39" t="inlineStr">
        <is>
          <t>2024-11-22</t>
        </is>
      </c>
      <c r="B86" s="18" t="inlineStr">
        <is>
          <t>APAC</t>
        </is>
      </c>
      <c r="C86" s="18" t="inlineStr">
        <is>
          <t>Signal Pro</t>
        </is>
      </c>
      <c r="D86" s="18" t="inlineStr">
        <is>
          <t>Mid-market</t>
        </is>
      </c>
      <c r="E86" s="18" t="inlineStr">
        <is>
          <t>F. Duarte</t>
        </is>
      </c>
      <c r="F86" s="20" t="n">
        <v>89400</v>
      </c>
      <c r="G86" s="34" t="inlineStr">
        <is>
          <t>Multi-year prepay</t>
        </is>
      </c>
    </row>
    <row r="87">
      <c r="A87" s="39" t="inlineStr">
        <is>
          <t>2024-11-29</t>
        </is>
      </c>
      <c r="B87" s="18" t="inlineStr">
        <is>
          <t>LATAM</t>
        </is>
      </c>
      <c r="C87" s="18" t="inlineStr">
        <is>
          <t>Signal Pro</t>
        </is>
      </c>
      <c r="D87" s="18" t="inlineStr">
        <is>
          <t>SMB</t>
        </is>
      </c>
      <c r="E87" s="18" t="inlineStr">
        <is>
          <t>J. Adeyemi</t>
        </is>
      </c>
      <c r="F87" s="20" t="n">
        <v>54000</v>
      </c>
      <c r="G87" s="34" t="inlineStr">
        <is>
          <t>Competitive displacement</t>
        </is>
      </c>
    </row>
    <row r="88">
      <c r="A88" s="39" t="inlineStr">
        <is>
          <t>2024-11-06</t>
        </is>
      </c>
      <c r="B88" s="18" t="inlineStr">
        <is>
          <t>AMER West</t>
        </is>
      </c>
      <c r="C88" s="18" t="inlineStr">
        <is>
          <t>Alerts add-on</t>
        </is>
      </c>
      <c r="D88" s="18" t="inlineStr">
        <is>
          <t>Mid-market</t>
        </is>
      </c>
      <c r="E88" s="18" t="inlineStr">
        <is>
          <t>E. Nakamura</t>
        </is>
      </c>
      <c r="F88" s="20" t="n">
        <v>4800</v>
      </c>
      <c r="G88" s="34" t="inlineStr">
        <is>
          <t>Partner-sourced</t>
        </is>
      </c>
    </row>
    <row r="89">
      <c r="A89" s="39" t="inlineStr">
        <is>
          <t>2024-11-13</t>
        </is>
      </c>
      <c r="B89" s="18" t="inlineStr">
        <is>
          <t>AMER West</t>
        </is>
      </c>
      <c r="C89" s="18" t="inlineStr">
        <is>
          <t>Alerts add-on</t>
        </is>
      </c>
      <c r="D89" s="18" t="inlineStr">
        <is>
          <t>SMB</t>
        </is>
      </c>
      <c r="E89" s="18" t="inlineStr">
        <is>
          <t>H. Vasquez</t>
        </is>
      </c>
      <c r="F89" s="20" t="n">
        <v>103600</v>
      </c>
      <c r="G89" s="34" t="inlineStr">
        <is>
          <t>Pilot converted</t>
        </is>
      </c>
    </row>
    <row r="90">
      <c r="A90" s="39" t="inlineStr">
        <is>
          <t>2024-11-20</t>
        </is>
      </c>
      <c r="B90" s="18" t="inlineStr">
        <is>
          <t>AMER West</t>
        </is>
      </c>
      <c r="C90" s="18" t="inlineStr">
        <is>
          <t>Signal Pro</t>
        </is>
      </c>
      <c r="D90" s="18" t="inlineStr">
        <is>
          <t>SMB</t>
        </is>
      </c>
      <c r="E90" s="18" t="inlineStr">
        <is>
          <t>E. Nakamura</t>
        </is>
      </c>
      <c r="F90" s="20" t="n">
        <v>225000</v>
      </c>
      <c r="G90" s="34" t="inlineStr">
        <is>
          <t>Multi-year prepay</t>
        </is>
      </c>
    </row>
    <row r="91">
      <c r="A91" s="39" t="inlineStr">
        <is>
          <t>2024-11-27</t>
        </is>
      </c>
      <c r="B91" s="18" t="inlineStr">
        <is>
          <t>AMER East</t>
        </is>
      </c>
      <c r="C91" s="18" t="inlineStr">
        <is>
          <t>Signal Pro</t>
        </is>
      </c>
      <c r="D91" s="18" t="inlineStr">
        <is>
          <t>Mid-market</t>
        </is>
      </c>
      <c r="E91" s="18" t="inlineStr">
        <is>
          <t>D. Chatterjee</t>
        </is>
      </c>
      <c r="F91" s="20" t="n">
        <v>50100</v>
      </c>
      <c r="G91" s="34" t="inlineStr">
        <is>
          <t>Partner-sourced</t>
        </is>
      </c>
    </row>
    <row r="92">
      <c r="A92" s="39" t="inlineStr">
        <is>
          <t>2024-11-04</t>
        </is>
      </c>
      <c r="B92" s="18" t="inlineStr">
        <is>
          <t>LATAM</t>
        </is>
      </c>
      <c r="C92" s="18" t="inlineStr">
        <is>
          <t>Warehouse Connect</t>
        </is>
      </c>
      <c r="D92" s="18" t="inlineStr">
        <is>
          <t>Mid-market</t>
        </is>
      </c>
      <c r="E92" s="18" t="inlineStr">
        <is>
          <t>F. Duarte</t>
        </is>
      </c>
      <c r="F92" s="20" t="n">
        <v>42700</v>
      </c>
      <c r="G92" s="34" t="inlineStr">
        <is>
          <t>Competitive displacement</t>
        </is>
      </c>
    </row>
    <row r="93">
      <c r="A93" s="39" t="inlineStr">
        <is>
          <t>2024-11-11</t>
        </is>
      </c>
      <c r="B93" s="18" t="inlineStr">
        <is>
          <t>LATAM</t>
        </is>
      </c>
      <c r="C93" s="18" t="inlineStr">
        <is>
          <t>Signal Pro</t>
        </is>
      </c>
      <c r="D93" s="18" t="inlineStr">
        <is>
          <t>SMB</t>
        </is>
      </c>
      <c r="E93" s="18" t="inlineStr">
        <is>
          <t>C. Marín</t>
        </is>
      </c>
      <c r="F93" s="20" t="n">
        <v>39200</v>
      </c>
      <c r="G93" s="34" t="inlineStr">
        <is>
          <t>Co-term with parent</t>
        </is>
      </c>
    </row>
    <row r="94">
      <c r="A94" s="39" t="inlineStr">
        <is>
          <t>2024-11-18</t>
        </is>
      </c>
      <c r="B94" s="18" t="inlineStr">
        <is>
          <t>EMEA</t>
        </is>
      </c>
      <c r="C94" s="18" t="inlineStr">
        <is>
          <t>Warehouse Connect</t>
        </is>
      </c>
      <c r="D94" s="18" t="inlineStr">
        <is>
          <t>Enterprise</t>
        </is>
      </c>
      <c r="E94" s="18" t="inlineStr">
        <is>
          <t>J. Adeyemi</t>
        </is>
      </c>
      <c r="F94" s="20" t="n">
        <v>149400</v>
      </c>
      <c r="G94" s="34" t="inlineStr">
        <is>
          <t>Multi-year prepay</t>
        </is>
      </c>
    </row>
    <row r="95">
      <c r="A95" s="39" t="inlineStr">
        <is>
          <t>2024-11-25</t>
        </is>
      </c>
      <c r="B95" s="18" t="inlineStr">
        <is>
          <t>AMER West</t>
        </is>
      </c>
      <c r="C95" s="18" t="inlineStr">
        <is>
          <t>Embedded Reports</t>
        </is>
      </c>
      <c r="D95" s="18" t="inlineStr">
        <is>
          <t>Mid-market</t>
        </is>
      </c>
      <c r="E95" s="18" t="inlineStr">
        <is>
          <t>F. Duarte</t>
        </is>
      </c>
      <c r="F95" s="20" t="n">
        <v>210600</v>
      </c>
      <c r="G95" s="34" t="inlineStr">
        <is>
          <t>Pilot converted</t>
        </is>
      </c>
    </row>
    <row r="96">
      <c r="A96" s="39" t="inlineStr">
        <is>
          <t>2024-11-02</t>
        </is>
      </c>
      <c r="B96" s="18" t="inlineStr">
        <is>
          <t>APAC</t>
        </is>
      </c>
      <c r="C96" s="18" t="inlineStr">
        <is>
          <t>Signal Core</t>
        </is>
      </c>
      <c r="D96" s="18" t="inlineStr">
        <is>
          <t>SMB</t>
        </is>
      </c>
      <c r="E96" s="18" t="inlineStr">
        <is>
          <t>D. Chatterjee</t>
        </is>
      </c>
      <c r="F96" s="20" t="n">
        <v>25200</v>
      </c>
      <c r="G96" s="34" t="inlineStr">
        <is>
          <t>Pilot converted</t>
        </is>
      </c>
    </row>
    <row r="97">
      <c r="A97" s="39" t="inlineStr">
        <is>
          <t>2024-11-09</t>
        </is>
      </c>
      <c r="B97" s="18" t="inlineStr">
        <is>
          <t>EMEA</t>
        </is>
      </c>
      <c r="C97" s="18" t="inlineStr">
        <is>
          <t>Signal Core</t>
        </is>
      </c>
      <c r="D97" s="18" t="inlineStr">
        <is>
          <t>Mid-market</t>
        </is>
      </c>
      <c r="E97" s="18" t="inlineStr">
        <is>
          <t>H. Vasquez</t>
        </is>
      </c>
      <c r="F97" s="20" t="n">
        <v>26000</v>
      </c>
      <c r="G97" s="34" t="inlineStr">
        <is>
          <t>Partner-sourced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 ht="20" customHeight="1">
      <c r="A1" s="8" t="inlineStr">
        <is>
          <t>Date</t>
        </is>
      </c>
      <c r="B1" s="7" t="inlineStr">
        <is>
          <t>Region</t>
        </is>
      </c>
      <c r="C1" s="7" t="inlineStr">
        <is>
          <t>Product</t>
        </is>
      </c>
      <c r="D1" s="7" t="inlineStr">
        <is>
          <t>Segment</t>
        </is>
      </c>
      <c r="E1" s="7" t="inlineStr">
        <is>
          <t>Rep</t>
        </is>
      </c>
      <c r="F1" s="24" t="inlineStr">
        <is>
          <t>Bookings</t>
        </is>
      </c>
      <c r="G1" s="7" t="inlineStr">
        <is>
          <t>Note</t>
        </is>
      </c>
    </row>
    <row r="2">
      <c r="A2" s="39" t="inlineStr">
        <is>
          <t>2024-12-06</t>
        </is>
      </c>
      <c r="B2" s="18" t="inlineStr">
        <is>
          <t>AMER East</t>
        </is>
      </c>
      <c r="C2" s="18" t="inlineStr">
        <is>
          <t>Alerts add-on</t>
        </is>
      </c>
      <c r="D2" s="18" t="inlineStr">
        <is>
          <t>Mid-market</t>
        </is>
      </c>
      <c r="E2" s="18" t="inlineStr">
        <is>
          <t>A. Okafor</t>
        </is>
      </c>
      <c r="F2" s="20" t="n">
        <v>68400</v>
      </c>
      <c r="G2" s="34" t="inlineStr">
        <is>
          <t>Rebate carried from legacy 10% promo</t>
        </is>
      </c>
    </row>
    <row r="3">
      <c r="A3" s="39" t="inlineStr">
        <is>
          <t>2024-12-13</t>
        </is>
      </c>
      <c r="B3" s="18" t="inlineStr">
        <is>
          <t>APAC</t>
        </is>
      </c>
      <c r="C3" s="18" t="inlineStr">
        <is>
          <t>Signal Core</t>
        </is>
      </c>
      <c r="D3" s="18" t="inlineStr">
        <is>
          <t>SMB</t>
        </is>
      </c>
      <c r="E3" s="18" t="inlineStr">
        <is>
          <t>J. Adeyemi</t>
        </is>
      </c>
      <c r="F3" s="20" t="n">
        <v>132000</v>
      </c>
      <c r="G3" s="34" t="inlineStr">
        <is>
          <t>Standard list price</t>
        </is>
      </c>
    </row>
    <row r="4">
      <c r="A4" s="39" t="inlineStr">
        <is>
          <t>2024-12-20</t>
        </is>
      </c>
      <c r="B4" s="18" t="inlineStr">
        <is>
          <t>EMEA</t>
        </is>
      </c>
      <c r="C4" s="18" t="inlineStr">
        <is>
          <t>Signal Pro</t>
        </is>
      </c>
      <c r="D4" s="18" t="inlineStr">
        <is>
          <t>Mid-market</t>
        </is>
      </c>
      <c r="E4" s="18" t="inlineStr">
        <is>
          <t>C. Marín</t>
        </is>
      </c>
      <c r="F4" s="20" t="n">
        <v>8800</v>
      </c>
      <c r="G4" s="34" t="inlineStr">
        <is>
          <t>Multi-year prepay</t>
        </is>
      </c>
    </row>
    <row r="5">
      <c r="A5" s="39" t="inlineStr">
        <is>
          <t>2024-12-27</t>
        </is>
      </c>
      <c r="B5" s="18" t="inlineStr">
        <is>
          <t>LATAM</t>
        </is>
      </c>
      <c r="C5" s="18" t="inlineStr">
        <is>
          <t>Alerts add-on</t>
        </is>
      </c>
      <c r="D5" s="18" t="inlineStr">
        <is>
          <t>Mid-market</t>
        </is>
      </c>
      <c r="E5" s="18" t="inlineStr">
        <is>
          <t>J. Adeyemi</t>
        </is>
      </c>
      <c r="F5" s="20" t="n">
        <v>74900</v>
      </c>
      <c r="G5" s="34" t="inlineStr">
        <is>
          <t>Competitive displacement</t>
        </is>
      </c>
    </row>
    <row r="6">
      <c r="A6" s="39" t="inlineStr">
        <is>
          <t>2024-12-03</t>
        </is>
      </c>
      <c r="B6" s="18" t="inlineStr">
        <is>
          <t>LATAM</t>
        </is>
      </c>
      <c r="C6" s="18" t="inlineStr">
        <is>
          <t>Alerts add-on</t>
        </is>
      </c>
      <c r="D6" s="18" t="inlineStr">
        <is>
          <t>Mid-market</t>
        </is>
      </c>
      <c r="E6" s="18" t="inlineStr">
        <is>
          <t>B. Lindqvist</t>
        </is>
      </c>
      <c r="F6" s="20" t="n">
        <v>42300</v>
      </c>
      <c r="G6" s="34" t="inlineStr">
        <is>
          <t>Standard list price</t>
        </is>
      </c>
    </row>
    <row r="7">
      <c r="A7" s="39" t="inlineStr">
        <is>
          <t>2024-12-10</t>
        </is>
      </c>
      <c r="B7" s="18" t="inlineStr">
        <is>
          <t>APAC</t>
        </is>
      </c>
      <c r="C7" s="18" t="inlineStr">
        <is>
          <t>Embedded Reports</t>
        </is>
      </c>
      <c r="D7" s="18" t="inlineStr">
        <is>
          <t>Enterprise</t>
        </is>
      </c>
      <c r="E7" s="18" t="inlineStr">
        <is>
          <t>G. Halloran</t>
        </is>
      </c>
      <c r="F7" s="20" t="n">
        <v>36000</v>
      </c>
      <c r="G7" s="34" t="inlineStr">
        <is>
          <t>Co-term with parent</t>
        </is>
      </c>
    </row>
    <row r="8">
      <c r="A8" s="39" t="inlineStr">
        <is>
          <t>2024-12-17</t>
        </is>
      </c>
      <c r="B8" s="18" t="inlineStr">
        <is>
          <t>LATAM</t>
        </is>
      </c>
      <c r="C8" s="18" t="inlineStr">
        <is>
          <t>Warehouse Connect</t>
        </is>
      </c>
      <c r="D8" s="18" t="inlineStr">
        <is>
          <t>Mid-market</t>
        </is>
      </c>
      <c r="E8" s="18" t="inlineStr">
        <is>
          <t>B. Lindqvist</t>
        </is>
      </c>
      <c r="F8" s="20" t="n">
        <v>10000</v>
      </c>
      <c r="G8" s="34" t="inlineStr">
        <is>
          <t>Standard list price</t>
        </is>
      </c>
    </row>
    <row r="9">
      <c r="A9" s="39" t="inlineStr">
        <is>
          <t>2024-12-24</t>
        </is>
      </c>
      <c r="B9" s="18" t="inlineStr">
        <is>
          <t>AMER East</t>
        </is>
      </c>
      <c r="C9" s="18" t="inlineStr">
        <is>
          <t>Warehouse Connect</t>
        </is>
      </c>
      <c r="D9" s="18" t="inlineStr">
        <is>
          <t>SMB</t>
        </is>
      </c>
      <c r="E9" s="18" t="inlineStr">
        <is>
          <t>K. Sørensen</t>
        </is>
      </c>
      <c r="F9" s="20" t="n">
        <v>57300</v>
      </c>
      <c r="G9" s="34" t="inlineStr">
        <is>
          <t>Pilot converted</t>
        </is>
      </c>
    </row>
    <row r="10">
      <c r="A10" s="39" t="inlineStr">
        <is>
          <t>2024-12-31</t>
        </is>
      </c>
      <c r="B10" s="18" t="inlineStr">
        <is>
          <t>AMER West</t>
        </is>
      </c>
      <c r="C10" s="18" t="inlineStr">
        <is>
          <t>Signal Core</t>
        </is>
      </c>
      <c r="D10" s="18" t="inlineStr">
        <is>
          <t>Mid-market</t>
        </is>
      </c>
      <c r="E10" s="18" t="inlineStr">
        <is>
          <t>G. Halloran</t>
        </is>
      </c>
      <c r="F10" s="20" t="n">
        <v>40200</v>
      </c>
      <c r="G10" s="34" t="inlineStr">
        <is>
          <t>Standard list price</t>
        </is>
      </c>
    </row>
    <row r="11">
      <c r="A11" s="39" t="inlineStr">
        <is>
          <t>2024-12-07</t>
        </is>
      </c>
      <c r="B11" s="18" t="inlineStr">
        <is>
          <t>LATAM</t>
        </is>
      </c>
      <c r="C11" s="18" t="inlineStr">
        <is>
          <t>Alerts add-on</t>
        </is>
      </c>
      <c r="D11" s="18" t="inlineStr">
        <is>
          <t>Enterprise</t>
        </is>
      </c>
      <c r="E11" s="18" t="inlineStr">
        <is>
          <t>B. Lindqvist</t>
        </is>
      </c>
      <c r="F11" s="20" t="n">
        <v>59200</v>
      </c>
      <c r="G11" s="34" t="inlineStr">
        <is>
          <t>Standard list price</t>
        </is>
      </c>
    </row>
    <row r="12">
      <c r="A12" s="39" t="inlineStr">
        <is>
          <t>2024-12-14</t>
        </is>
      </c>
      <c r="B12" s="18" t="inlineStr">
        <is>
          <t>AMER West</t>
        </is>
      </c>
      <c r="C12" s="18" t="inlineStr">
        <is>
          <t>Embedded Reports</t>
        </is>
      </c>
      <c r="D12" s="18" t="inlineStr">
        <is>
          <t>Mid-market</t>
        </is>
      </c>
      <c r="E12" s="18" t="inlineStr">
        <is>
          <t>H. Vasquez</t>
        </is>
      </c>
      <c r="F12" s="20" t="n">
        <v>154200</v>
      </c>
      <c r="G12" s="34" t="inlineStr">
        <is>
          <t>Ramped deal, year one</t>
        </is>
      </c>
    </row>
    <row r="13">
      <c r="A13" s="39" t="inlineStr">
        <is>
          <t>2024-12-21</t>
        </is>
      </c>
      <c r="B13" s="18" t="inlineStr">
        <is>
          <t>AMER East</t>
        </is>
      </c>
      <c r="C13" s="18" t="inlineStr">
        <is>
          <t>Signal Pro</t>
        </is>
      </c>
      <c r="D13" s="18" t="inlineStr">
        <is>
          <t>Mid-market</t>
        </is>
      </c>
      <c r="E13" s="18" t="inlineStr">
        <is>
          <t>C. Marín</t>
        </is>
      </c>
      <c r="F13" s="20" t="n">
        <v>45900</v>
      </c>
      <c r="G13" s="34" t="inlineStr">
        <is>
          <t>Pilot converted</t>
        </is>
      </c>
    </row>
    <row r="14">
      <c r="A14" s="39" t="inlineStr">
        <is>
          <t>2024-12-28</t>
        </is>
      </c>
      <c r="B14" s="18" t="inlineStr">
        <is>
          <t>AMER East</t>
        </is>
      </c>
      <c r="C14" s="18" t="inlineStr">
        <is>
          <t>Embedded Reports</t>
        </is>
      </c>
      <c r="D14" s="18" t="inlineStr">
        <is>
          <t>SMB</t>
        </is>
      </c>
      <c r="E14" s="18" t="inlineStr">
        <is>
          <t>B. Lindqvist</t>
        </is>
      </c>
      <c r="F14" s="20" t="n">
        <v>41400</v>
      </c>
      <c r="G14" s="34" t="inlineStr">
        <is>
          <t>Co-term with parent</t>
        </is>
      </c>
    </row>
    <row r="15">
      <c r="A15" s="39" t="inlineStr">
        <is>
          <t>2024-12-04</t>
        </is>
      </c>
      <c r="B15" s="18" t="inlineStr">
        <is>
          <t>APAC</t>
        </is>
      </c>
      <c r="C15" s="18" t="inlineStr">
        <is>
          <t>Signal Core</t>
        </is>
      </c>
      <c r="D15" s="18" t="inlineStr">
        <is>
          <t>Mid-market</t>
        </is>
      </c>
      <c r="E15" s="18" t="inlineStr">
        <is>
          <t>D. Chatterjee</t>
        </is>
      </c>
      <c r="F15" s="20" t="n">
        <v>139800</v>
      </c>
      <c r="G15" s="34" t="inlineStr">
        <is>
          <t>Ramped deal, year one</t>
        </is>
      </c>
    </row>
    <row r="16">
      <c r="A16" s="39" t="inlineStr">
        <is>
          <t>2024-12-11</t>
        </is>
      </c>
      <c r="B16" s="18" t="inlineStr">
        <is>
          <t>AMER East</t>
        </is>
      </c>
      <c r="C16" s="18" t="inlineStr">
        <is>
          <t>Signal Pro</t>
        </is>
      </c>
      <c r="D16" s="18" t="inlineStr">
        <is>
          <t>Enterprise</t>
        </is>
      </c>
      <c r="E16" s="18" t="inlineStr">
        <is>
          <t>D. Chatterjee</t>
        </is>
      </c>
      <c r="F16" s="20" t="n">
        <v>71600</v>
      </c>
      <c r="G16" s="34" t="inlineStr">
        <is>
          <t>Renewal uplift 7%</t>
        </is>
      </c>
    </row>
    <row r="17">
      <c r="A17" s="39" t="inlineStr">
        <is>
          <t>2024-12-18</t>
        </is>
      </c>
      <c r="B17" s="18" t="inlineStr">
        <is>
          <t>APAC</t>
        </is>
      </c>
      <c r="C17" s="18" t="inlineStr">
        <is>
          <t>Alerts add-on</t>
        </is>
      </c>
      <c r="D17" s="18" t="inlineStr">
        <is>
          <t>Mid-market</t>
        </is>
      </c>
      <c r="E17" s="18" t="inlineStr">
        <is>
          <t>C. Marín</t>
        </is>
      </c>
      <c r="F17" s="20" t="n">
        <v>42900</v>
      </c>
      <c r="G17" s="34" t="inlineStr">
        <is>
          <t>Multi-year prepay</t>
        </is>
      </c>
    </row>
    <row r="18">
      <c r="A18" s="39" t="inlineStr">
        <is>
          <t>2024-12-25</t>
        </is>
      </c>
      <c r="B18" s="18" t="inlineStr">
        <is>
          <t>APAC</t>
        </is>
      </c>
      <c r="C18" s="18" t="inlineStr">
        <is>
          <t>Signal Core</t>
        </is>
      </c>
      <c r="D18" s="18" t="inlineStr">
        <is>
          <t>Enterprise</t>
        </is>
      </c>
      <c r="E18" s="18" t="inlineStr">
        <is>
          <t>J. Adeyemi</t>
        </is>
      </c>
      <c r="F18" s="20" t="n">
        <v>50400</v>
      </c>
      <c r="G18" s="34" t="inlineStr">
        <is>
          <t>Renewal uplift 7%</t>
        </is>
      </c>
    </row>
    <row r="19">
      <c r="A19" s="39" t="inlineStr">
        <is>
          <t>2024-12-01</t>
        </is>
      </c>
      <c r="B19" s="18" t="inlineStr">
        <is>
          <t>AMER West</t>
        </is>
      </c>
      <c r="C19" s="18" t="inlineStr">
        <is>
          <t>Embedded Reports</t>
        </is>
      </c>
      <c r="D19" s="18" t="inlineStr">
        <is>
          <t>SMB</t>
        </is>
      </c>
      <c r="E19" s="18" t="inlineStr">
        <is>
          <t>J. Adeyemi</t>
        </is>
      </c>
      <c r="F19" s="20" t="n">
        <v>9200</v>
      </c>
      <c r="G19" s="34" t="inlineStr">
        <is>
          <t>Competitive displacement</t>
        </is>
      </c>
    </row>
    <row r="20">
      <c r="A20" s="39" t="inlineStr">
        <is>
          <t>2024-12-08</t>
        </is>
      </c>
      <c r="B20" s="18" t="inlineStr">
        <is>
          <t>AMER West</t>
        </is>
      </c>
      <c r="C20" s="18" t="inlineStr">
        <is>
          <t>Warehouse Connect</t>
        </is>
      </c>
      <c r="D20" s="18" t="inlineStr">
        <is>
          <t>Mid-market</t>
        </is>
      </c>
      <c r="E20" s="18" t="inlineStr">
        <is>
          <t>G. Halloran</t>
        </is>
      </c>
      <c r="F20" s="20" t="n">
        <v>56600</v>
      </c>
      <c r="G20" s="34" t="inlineStr">
        <is>
          <t>Ramped deal, year one</t>
        </is>
      </c>
    </row>
    <row r="21">
      <c r="A21" s="39" t="inlineStr">
        <is>
          <t>2024-12-15</t>
        </is>
      </c>
      <c r="B21" s="18" t="inlineStr">
        <is>
          <t>AMER East</t>
        </is>
      </c>
      <c r="C21" s="18" t="inlineStr">
        <is>
          <t>Alerts add-on</t>
        </is>
      </c>
      <c r="D21" s="18" t="inlineStr">
        <is>
          <t>Enterprise</t>
        </is>
      </c>
      <c r="E21" s="18" t="inlineStr">
        <is>
          <t>J. Adeyemi</t>
        </is>
      </c>
      <c r="F21" s="20" t="n">
        <v>227700</v>
      </c>
      <c r="G21" s="34" t="inlineStr">
        <is>
          <t>Competitive displacement</t>
        </is>
      </c>
    </row>
    <row r="22">
      <c r="A22" s="39" t="inlineStr">
        <is>
          <t>2024-12-22</t>
        </is>
      </c>
      <c r="B22" s="18" t="inlineStr">
        <is>
          <t>AMER West</t>
        </is>
      </c>
      <c r="C22" s="18" t="inlineStr">
        <is>
          <t>Alerts add-on</t>
        </is>
      </c>
      <c r="D22" s="18" t="inlineStr">
        <is>
          <t>Mid-market</t>
        </is>
      </c>
      <c r="E22" s="18" t="inlineStr">
        <is>
          <t>J. Adeyemi</t>
        </is>
      </c>
      <c r="F22" s="20" t="n">
        <v>73400</v>
      </c>
      <c r="G22" s="34" t="inlineStr">
        <is>
          <t>Multi-year prepay</t>
        </is>
      </c>
    </row>
    <row r="23">
      <c r="A23" s="39" t="inlineStr">
        <is>
          <t>2024-12-29</t>
        </is>
      </c>
      <c r="B23" s="18" t="inlineStr">
        <is>
          <t>AMER West</t>
        </is>
      </c>
      <c r="C23" s="18" t="inlineStr">
        <is>
          <t>Signal Core</t>
        </is>
      </c>
      <c r="D23" s="18" t="inlineStr">
        <is>
          <t>Enterprise</t>
        </is>
      </c>
      <c r="E23" s="18" t="inlineStr">
        <is>
          <t>K. Sørensen</t>
        </is>
      </c>
      <c r="F23" s="20" t="n">
        <v>215700</v>
      </c>
      <c r="G23" s="34" t="inlineStr">
        <is>
          <t>Co-term with parent</t>
        </is>
      </c>
    </row>
    <row r="24">
      <c r="A24" s="39" t="inlineStr">
        <is>
          <t>2024-12-05</t>
        </is>
      </c>
      <c r="B24" s="18" t="inlineStr">
        <is>
          <t>AMER West</t>
        </is>
      </c>
      <c r="C24" s="18" t="inlineStr">
        <is>
          <t>Embedded Reports</t>
        </is>
      </c>
      <c r="D24" s="18" t="inlineStr">
        <is>
          <t>SMB</t>
        </is>
      </c>
      <c r="E24" s="18" t="inlineStr">
        <is>
          <t>K. Sørensen</t>
        </is>
      </c>
      <c r="F24" s="20" t="n">
        <v>45500</v>
      </c>
      <c r="G24" s="34" t="inlineStr">
        <is>
          <t>Standard list price</t>
        </is>
      </c>
    </row>
    <row r="25">
      <c r="A25" s="39" t="inlineStr">
        <is>
          <t>2024-12-12</t>
        </is>
      </c>
      <c r="B25" s="18" t="inlineStr">
        <is>
          <t>AMER West</t>
        </is>
      </c>
      <c r="C25" s="18" t="inlineStr">
        <is>
          <t>Signal Pro</t>
        </is>
      </c>
      <c r="D25" s="18" t="inlineStr">
        <is>
          <t>Mid-market</t>
        </is>
      </c>
      <c r="E25" s="18" t="inlineStr">
        <is>
          <t>K. Sørensen</t>
        </is>
      </c>
      <c r="F25" s="20" t="n">
        <v>39400</v>
      </c>
      <c r="G25" s="34" t="inlineStr">
        <is>
          <t>Renewal uplift 7%</t>
        </is>
      </c>
    </row>
    <row r="26">
      <c r="A26" s="39" t="inlineStr">
        <is>
          <t>2024-12-19</t>
        </is>
      </c>
      <c r="B26" s="18" t="inlineStr">
        <is>
          <t>AMER East</t>
        </is>
      </c>
      <c r="C26" s="18" t="inlineStr">
        <is>
          <t>Embedded Reports</t>
        </is>
      </c>
      <c r="D26" s="18" t="inlineStr">
        <is>
          <t>Mid-market</t>
        </is>
      </c>
      <c r="E26" s="18" t="inlineStr">
        <is>
          <t>H. Vasquez</t>
        </is>
      </c>
      <c r="F26" s="20" t="n">
        <v>36900</v>
      </c>
      <c r="G26" s="34" t="inlineStr">
        <is>
          <t>Standard list price</t>
        </is>
      </c>
    </row>
    <row r="27">
      <c r="A27" s="39" t="inlineStr">
        <is>
          <t>2024-12-26</t>
        </is>
      </c>
      <c r="B27" s="18" t="inlineStr">
        <is>
          <t>AMER West</t>
        </is>
      </c>
      <c r="C27" s="18" t="inlineStr">
        <is>
          <t>Alerts add-on</t>
        </is>
      </c>
      <c r="D27" s="18" t="inlineStr">
        <is>
          <t>Mid-market</t>
        </is>
      </c>
      <c r="E27" s="18" t="inlineStr">
        <is>
          <t>B. Lindqvist</t>
        </is>
      </c>
      <c r="F27" s="20" t="n">
        <v>29600</v>
      </c>
      <c r="G27" s="34" t="inlineStr">
        <is>
          <t>Standard list price</t>
        </is>
      </c>
    </row>
    <row r="28">
      <c r="A28" s="39" t="inlineStr">
        <is>
          <t>2024-12-02</t>
        </is>
      </c>
      <c r="B28" s="18" t="inlineStr">
        <is>
          <t>EMEA</t>
        </is>
      </c>
      <c r="C28" s="18" t="inlineStr">
        <is>
          <t>Warehouse Connect</t>
        </is>
      </c>
      <c r="D28" s="18" t="inlineStr">
        <is>
          <t>Enterprise</t>
        </is>
      </c>
      <c r="E28" s="18" t="inlineStr">
        <is>
          <t>E. Nakamura</t>
        </is>
      </c>
      <c r="F28" s="20" t="n">
        <v>31700</v>
      </c>
      <c r="G28" s="34" t="inlineStr">
        <is>
          <t>Co-term with parent</t>
        </is>
      </c>
    </row>
    <row r="29">
      <c r="A29" s="39" t="inlineStr">
        <is>
          <t>2024-12-09</t>
        </is>
      </c>
      <c r="B29" s="18" t="inlineStr">
        <is>
          <t>AMER West</t>
        </is>
      </c>
      <c r="C29" s="18" t="inlineStr">
        <is>
          <t>Signal Core</t>
        </is>
      </c>
      <c r="D29" s="18" t="inlineStr">
        <is>
          <t>Enterprise</t>
        </is>
      </c>
      <c r="E29" s="18" t="inlineStr">
        <is>
          <t>C. Marín</t>
        </is>
      </c>
      <c r="F29" s="20" t="n">
        <v>70700</v>
      </c>
      <c r="G29" s="34" t="inlineStr">
        <is>
          <t>Ramped deal, year one</t>
        </is>
      </c>
    </row>
    <row r="30">
      <c r="A30" s="39" t="inlineStr">
        <is>
          <t>2024-12-16</t>
        </is>
      </c>
      <c r="B30" s="18" t="inlineStr">
        <is>
          <t>AMER West</t>
        </is>
      </c>
      <c r="C30" s="18" t="inlineStr">
        <is>
          <t>Signal Core</t>
        </is>
      </c>
      <c r="D30" s="18" t="inlineStr">
        <is>
          <t>Enterprise</t>
        </is>
      </c>
      <c r="E30" s="18" t="inlineStr">
        <is>
          <t>A. Okafor</t>
        </is>
      </c>
      <c r="F30" s="20" t="n">
        <v>4300</v>
      </c>
      <c r="G30" s="34" t="inlineStr">
        <is>
          <t>Standard list price</t>
        </is>
      </c>
    </row>
    <row r="31">
      <c r="A31" s="39" t="inlineStr">
        <is>
          <t>2024-12-23</t>
        </is>
      </c>
      <c r="B31" s="18" t="inlineStr">
        <is>
          <t>LATAM</t>
        </is>
      </c>
      <c r="C31" s="18" t="inlineStr">
        <is>
          <t>Alerts add-on</t>
        </is>
      </c>
      <c r="D31" s="18" t="inlineStr">
        <is>
          <t>SMB</t>
        </is>
      </c>
      <c r="E31" s="18" t="inlineStr">
        <is>
          <t>C. Marín</t>
        </is>
      </c>
      <c r="F31" s="20" t="n">
        <v>10200</v>
      </c>
      <c r="G31" s="34" t="inlineStr">
        <is>
          <t>Partner-sourced</t>
        </is>
      </c>
    </row>
    <row r="32">
      <c r="A32" s="39" t="inlineStr">
        <is>
          <t>2024-12-30</t>
        </is>
      </c>
      <c r="B32" s="18" t="inlineStr">
        <is>
          <t>EMEA</t>
        </is>
      </c>
      <c r="C32" s="18" t="inlineStr">
        <is>
          <t>Warehouse Connect</t>
        </is>
      </c>
      <c r="D32" s="18" t="inlineStr">
        <is>
          <t>Enterprise</t>
        </is>
      </c>
      <c r="E32" s="18" t="inlineStr">
        <is>
          <t>J. Adeyemi</t>
        </is>
      </c>
      <c r="F32" s="20" t="n">
        <v>46600</v>
      </c>
      <c r="G32" s="34" t="inlineStr">
        <is>
          <t>Co-term with parent</t>
        </is>
      </c>
    </row>
    <row r="33">
      <c r="A33" s="39" t="inlineStr">
        <is>
          <t>2024-12-06</t>
        </is>
      </c>
      <c r="B33" s="18" t="inlineStr">
        <is>
          <t>EMEA</t>
        </is>
      </c>
      <c r="C33" s="18" t="inlineStr">
        <is>
          <t>Alerts add-on</t>
        </is>
      </c>
      <c r="D33" s="18" t="inlineStr">
        <is>
          <t>SMB</t>
        </is>
      </c>
      <c r="E33" s="18" t="inlineStr">
        <is>
          <t>B. Lindqvist</t>
        </is>
      </c>
      <c r="F33" s="20" t="n">
        <v>76500</v>
      </c>
      <c r="G33" s="34" t="inlineStr">
        <is>
          <t>Renewal uplift 7%</t>
        </is>
      </c>
    </row>
    <row r="34">
      <c r="A34" s="39" t="inlineStr">
        <is>
          <t>2024-12-13</t>
        </is>
      </c>
      <c r="B34" s="18" t="inlineStr">
        <is>
          <t>AMER West</t>
        </is>
      </c>
      <c r="C34" s="18" t="inlineStr">
        <is>
          <t>Alerts add-on</t>
        </is>
      </c>
      <c r="D34" s="18" t="inlineStr">
        <is>
          <t>SMB</t>
        </is>
      </c>
      <c r="E34" s="18" t="inlineStr">
        <is>
          <t>D. Chatterjee</t>
        </is>
      </c>
      <c r="F34" s="20" t="n">
        <v>114900</v>
      </c>
      <c r="G34" s="34" t="inlineStr">
        <is>
          <t>Competitive displacement</t>
        </is>
      </c>
    </row>
    <row r="35">
      <c r="A35" s="39" t="inlineStr">
        <is>
          <t>2024-12-20</t>
        </is>
      </c>
      <c r="B35" s="18" t="inlineStr">
        <is>
          <t>EMEA</t>
        </is>
      </c>
      <c r="C35" s="18" t="inlineStr">
        <is>
          <t>Signal Core</t>
        </is>
      </c>
      <c r="D35" s="18" t="inlineStr">
        <is>
          <t>Enterprise</t>
        </is>
      </c>
      <c r="E35" s="18" t="inlineStr">
        <is>
          <t>K. Sørensen</t>
        </is>
      </c>
      <c r="F35" s="20" t="n">
        <v>45300</v>
      </c>
      <c r="G35" s="34" t="inlineStr">
        <is>
          <t>Ramped deal, year one</t>
        </is>
      </c>
    </row>
    <row r="36">
      <c r="A36" s="39" t="inlineStr">
        <is>
          <t>2024-12-27</t>
        </is>
      </c>
      <c r="B36" s="18" t="inlineStr">
        <is>
          <t>APAC</t>
        </is>
      </c>
      <c r="C36" s="18" t="inlineStr">
        <is>
          <t>Warehouse Connect</t>
        </is>
      </c>
      <c r="D36" s="18" t="inlineStr">
        <is>
          <t>SMB</t>
        </is>
      </c>
      <c r="E36" s="18" t="inlineStr">
        <is>
          <t>F. Duarte</t>
        </is>
      </c>
      <c r="F36" s="20" t="n">
        <v>18800</v>
      </c>
      <c r="G36" s="34" t="inlineStr">
        <is>
          <t>Multi-year prepay</t>
        </is>
      </c>
    </row>
    <row r="37">
      <c r="A37" s="39" t="inlineStr">
        <is>
          <t>2024-12-03</t>
        </is>
      </c>
      <c r="B37" s="18" t="inlineStr">
        <is>
          <t>APAC</t>
        </is>
      </c>
      <c r="C37" s="18" t="inlineStr">
        <is>
          <t>Warehouse Connect</t>
        </is>
      </c>
      <c r="D37" s="18" t="inlineStr">
        <is>
          <t>Enterprise</t>
        </is>
      </c>
      <c r="E37" s="18" t="inlineStr">
        <is>
          <t>G. Halloran</t>
        </is>
      </c>
      <c r="F37" s="20" t="n">
        <v>18800</v>
      </c>
      <c r="G37" s="34" t="inlineStr">
        <is>
          <t>Ramped deal, year one</t>
        </is>
      </c>
    </row>
    <row r="38">
      <c r="A38" s="39" t="inlineStr">
        <is>
          <t>2024-12-10</t>
        </is>
      </c>
      <c r="B38" s="18" t="inlineStr">
        <is>
          <t>LATAM</t>
        </is>
      </c>
      <c r="C38" s="18" t="inlineStr">
        <is>
          <t>Signal Pro</t>
        </is>
      </c>
      <c r="D38" s="18" t="inlineStr">
        <is>
          <t>Enterprise</t>
        </is>
      </c>
      <c r="E38" s="18" t="inlineStr">
        <is>
          <t>K. Sørensen</t>
        </is>
      </c>
      <c r="F38" s="20" t="n">
        <v>56500</v>
      </c>
      <c r="G38" s="34" t="inlineStr">
        <is>
          <t>Competitive displacement</t>
        </is>
      </c>
    </row>
    <row r="39">
      <c r="A39" s="39" t="inlineStr">
        <is>
          <t>2024-12-17</t>
        </is>
      </c>
      <c r="B39" s="18" t="inlineStr">
        <is>
          <t>EMEA</t>
        </is>
      </c>
      <c r="C39" s="18" t="inlineStr">
        <is>
          <t>Signal Core</t>
        </is>
      </c>
      <c r="D39" s="18" t="inlineStr">
        <is>
          <t>Mid-market</t>
        </is>
      </c>
      <c r="E39" s="18" t="inlineStr">
        <is>
          <t>K. Sørensen</t>
        </is>
      </c>
      <c r="F39" s="20" t="n">
        <v>64800</v>
      </c>
      <c r="G39" s="34" t="inlineStr">
        <is>
          <t>Co-term with parent</t>
        </is>
      </c>
    </row>
    <row r="40">
      <c r="A40" s="39" t="inlineStr">
        <is>
          <t>2024-12-24</t>
        </is>
      </c>
      <c r="B40" s="18" t="inlineStr">
        <is>
          <t>AMER West</t>
        </is>
      </c>
      <c r="C40" s="18" t="inlineStr">
        <is>
          <t>Signal Pro</t>
        </is>
      </c>
      <c r="D40" s="18" t="inlineStr">
        <is>
          <t>Enterprise</t>
        </is>
      </c>
      <c r="E40" s="18" t="inlineStr">
        <is>
          <t>A. Okafor</t>
        </is>
      </c>
      <c r="F40" s="20" t="n">
        <v>29200</v>
      </c>
      <c r="G40" s="34" t="inlineStr">
        <is>
          <t>Pilot converted</t>
        </is>
      </c>
    </row>
    <row r="41">
      <c r="A41" s="39" t="inlineStr">
        <is>
          <t>2024-12-31</t>
        </is>
      </c>
      <c r="B41" s="18" t="inlineStr">
        <is>
          <t>LATAM</t>
        </is>
      </c>
      <c r="C41" s="18" t="inlineStr">
        <is>
          <t>Signal Core</t>
        </is>
      </c>
      <c r="D41" s="18" t="inlineStr">
        <is>
          <t>Mid-market</t>
        </is>
      </c>
      <c r="E41" s="18" t="inlineStr">
        <is>
          <t>K. Sørensen</t>
        </is>
      </c>
      <c r="F41" s="20" t="n">
        <v>42600</v>
      </c>
      <c r="G41" s="34" t="inlineStr">
        <is>
          <t>Multi-year prepay</t>
        </is>
      </c>
    </row>
    <row r="42">
      <c r="A42" s="39" t="inlineStr">
        <is>
          <t>2024-12-07</t>
        </is>
      </c>
      <c r="B42" s="18" t="inlineStr">
        <is>
          <t>LATAM</t>
        </is>
      </c>
      <c r="C42" s="18" t="inlineStr">
        <is>
          <t>Signal Pro</t>
        </is>
      </c>
      <c r="D42" s="18" t="inlineStr">
        <is>
          <t>SMB</t>
        </is>
      </c>
      <c r="E42" s="18" t="inlineStr">
        <is>
          <t>A. Okafor</t>
        </is>
      </c>
      <c r="F42" s="20" t="n">
        <v>52400</v>
      </c>
      <c r="G42" s="34" t="inlineStr">
        <is>
          <t>Co-term with parent</t>
        </is>
      </c>
    </row>
    <row r="43">
      <c r="A43" s="39" t="inlineStr">
        <is>
          <t>2024-12-14</t>
        </is>
      </c>
      <c r="B43" s="18" t="inlineStr">
        <is>
          <t>AMER West</t>
        </is>
      </c>
      <c r="C43" s="18" t="inlineStr">
        <is>
          <t>Alerts add-on</t>
        </is>
      </c>
      <c r="D43" s="18" t="inlineStr">
        <is>
          <t>Enterprise</t>
        </is>
      </c>
      <c r="E43" s="18" t="inlineStr">
        <is>
          <t>F. Duarte</t>
        </is>
      </c>
      <c r="F43" s="20" t="n">
        <v>34500</v>
      </c>
      <c r="G43" s="34" t="inlineStr">
        <is>
          <t>Co-term with parent</t>
        </is>
      </c>
    </row>
    <row r="44">
      <c r="A44" s="39" t="inlineStr">
        <is>
          <t>2024-12-21</t>
        </is>
      </c>
      <c r="B44" s="18" t="inlineStr">
        <is>
          <t>EMEA</t>
        </is>
      </c>
      <c r="C44" s="18" t="inlineStr">
        <is>
          <t>Signal Pro</t>
        </is>
      </c>
      <c r="D44" s="18" t="inlineStr">
        <is>
          <t>SMB</t>
        </is>
      </c>
      <c r="E44" s="18" t="inlineStr">
        <is>
          <t>A. Okafor</t>
        </is>
      </c>
      <c r="F44" s="20" t="n">
        <v>58200</v>
      </c>
      <c r="G44" s="34" t="inlineStr">
        <is>
          <t>Partner-sourced</t>
        </is>
      </c>
    </row>
    <row r="45">
      <c r="A45" s="39" t="inlineStr">
        <is>
          <t>2024-12-28</t>
        </is>
      </c>
      <c r="B45" s="18" t="inlineStr">
        <is>
          <t>APAC</t>
        </is>
      </c>
      <c r="C45" s="18" t="inlineStr">
        <is>
          <t>Warehouse Connect</t>
        </is>
      </c>
      <c r="D45" s="18" t="inlineStr">
        <is>
          <t>SMB</t>
        </is>
      </c>
      <c r="E45" s="18" t="inlineStr">
        <is>
          <t>J. Adeyemi</t>
        </is>
      </c>
      <c r="F45" s="20" t="n">
        <v>193500</v>
      </c>
      <c r="G45" s="34" t="inlineStr">
        <is>
          <t>Multi-year prepay</t>
        </is>
      </c>
    </row>
    <row r="46">
      <c r="A46" s="39" t="inlineStr">
        <is>
          <t>2024-12-04</t>
        </is>
      </c>
      <c r="B46" s="18" t="inlineStr">
        <is>
          <t>AMER West</t>
        </is>
      </c>
      <c r="C46" s="18" t="inlineStr">
        <is>
          <t>Signal Pro</t>
        </is>
      </c>
      <c r="D46" s="18" t="inlineStr">
        <is>
          <t>Mid-market</t>
        </is>
      </c>
      <c r="E46" s="18" t="inlineStr">
        <is>
          <t>G. Halloran</t>
        </is>
      </c>
      <c r="F46" s="20" t="n">
        <v>48100</v>
      </c>
      <c r="G46" s="34" t="inlineStr">
        <is>
          <t>Co-term with parent</t>
        </is>
      </c>
    </row>
    <row r="47">
      <c r="A47" s="39" t="inlineStr">
        <is>
          <t>2024-12-11</t>
        </is>
      </c>
      <c r="B47" s="18" t="inlineStr">
        <is>
          <t>APAC</t>
        </is>
      </c>
      <c r="C47" s="18" t="inlineStr">
        <is>
          <t>Warehouse Connect</t>
        </is>
      </c>
      <c r="D47" s="18" t="inlineStr">
        <is>
          <t>SMB</t>
        </is>
      </c>
      <c r="E47" s="18" t="inlineStr">
        <is>
          <t>F. Duarte</t>
        </is>
      </c>
      <c r="F47" s="20" t="n">
        <v>47200</v>
      </c>
      <c r="G47" s="34" t="inlineStr">
        <is>
          <t>Partner-sourced</t>
        </is>
      </c>
    </row>
    <row r="48">
      <c r="A48" s="39" t="inlineStr">
        <is>
          <t>2024-12-18</t>
        </is>
      </c>
      <c r="B48" s="18" t="inlineStr">
        <is>
          <t>EMEA</t>
        </is>
      </c>
      <c r="C48" s="18" t="inlineStr">
        <is>
          <t>Signal Core</t>
        </is>
      </c>
      <c r="D48" s="18" t="inlineStr">
        <is>
          <t>Enterprise</t>
        </is>
      </c>
      <c r="E48" s="18" t="inlineStr">
        <is>
          <t>F. Duarte</t>
        </is>
      </c>
      <c r="F48" s="20" t="n">
        <v>45800</v>
      </c>
      <c r="G48" s="34" t="inlineStr">
        <is>
          <t>Standard list price</t>
        </is>
      </c>
    </row>
    <row r="49">
      <c r="A49" s="39" t="inlineStr">
        <is>
          <t>2024-12-25</t>
        </is>
      </c>
      <c r="B49" s="18" t="inlineStr">
        <is>
          <t>APAC</t>
        </is>
      </c>
      <c r="C49" s="18" t="inlineStr">
        <is>
          <t>Warehouse Connect</t>
        </is>
      </c>
      <c r="D49" s="18" t="inlineStr">
        <is>
          <t>SMB</t>
        </is>
      </c>
      <c r="E49" s="18" t="inlineStr">
        <is>
          <t>C. Marín</t>
        </is>
      </c>
      <c r="F49" s="20" t="n">
        <v>36300</v>
      </c>
      <c r="G49" s="34" t="inlineStr">
        <is>
          <t>Multi-year prepay</t>
        </is>
      </c>
    </row>
    <row r="50">
      <c r="A50" s="39" t="inlineStr">
        <is>
          <t>2024-12-01</t>
        </is>
      </c>
      <c r="B50" s="18" t="inlineStr">
        <is>
          <t>LATAM</t>
        </is>
      </c>
      <c r="C50" s="18" t="inlineStr">
        <is>
          <t>Warehouse Connect</t>
        </is>
      </c>
      <c r="D50" s="18" t="inlineStr">
        <is>
          <t>SMB</t>
        </is>
      </c>
      <c r="E50" s="18" t="inlineStr">
        <is>
          <t>G. Halloran</t>
        </is>
      </c>
      <c r="F50" s="20" t="n">
        <v>39400</v>
      </c>
      <c r="G50" s="34" t="inlineStr">
        <is>
          <t>Ramped deal, year one</t>
        </is>
      </c>
    </row>
    <row r="51">
      <c r="A51" s="39" t="inlineStr">
        <is>
          <t>2024-12-08</t>
        </is>
      </c>
      <c r="B51" s="18" t="inlineStr">
        <is>
          <t>LATAM</t>
        </is>
      </c>
      <c r="C51" s="18" t="inlineStr">
        <is>
          <t>Signal Core</t>
        </is>
      </c>
      <c r="D51" s="18" t="inlineStr">
        <is>
          <t>Enterprise</t>
        </is>
      </c>
      <c r="E51" s="18" t="inlineStr">
        <is>
          <t>D. Chatterjee</t>
        </is>
      </c>
      <c r="F51" s="20" t="n">
        <v>51500</v>
      </c>
      <c r="G51" s="34" t="inlineStr">
        <is>
          <t>Partner-sourced</t>
        </is>
      </c>
    </row>
    <row r="52">
      <c r="A52" s="39" t="inlineStr">
        <is>
          <t>2024-12-15</t>
        </is>
      </c>
      <c r="B52" s="18" t="inlineStr">
        <is>
          <t>LATAM</t>
        </is>
      </c>
      <c r="C52" s="18" t="inlineStr">
        <is>
          <t>Signal Pro</t>
        </is>
      </c>
      <c r="D52" s="18" t="inlineStr">
        <is>
          <t>Enterprise</t>
        </is>
      </c>
      <c r="E52" s="18" t="inlineStr">
        <is>
          <t>A. Okafor</t>
        </is>
      </c>
      <c r="F52" s="20" t="n">
        <v>31300</v>
      </c>
      <c r="G52" s="34" t="inlineStr">
        <is>
          <t>Partner-sourced</t>
        </is>
      </c>
    </row>
    <row r="53">
      <c r="A53" s="39" t="inlineStr">
        <is>
          <t>2024-12-22</t>
        </is>
      </c>
      <c r="B53" s="18" t="inlineStr">
        <is>
          <t>AMER West</t>
        </is>
      </c>
      <c r="C53" s="18" t="inlineStr">
        <is>
          <t>Alerts add-on</t>
        </is>
      </c>
      <c r="D53" s="18" t="inlineStr">
        <is>
          <t>Mid-market</t>
        </is>
      </c>
      <c r="E53" s="18" t="inlineStr">
        <is>
          <t>G. Halloran</t>
        </is>
      </c>
      <c r="F53" s="20" t="n">
        <v>66600</v>
      </c>
      <c r="G53" s="34" t="inlineStr">
        <is>
          <t>Co-term with parent</t>
        </is>
      </c>
    </row>
    <row r="54">
      <c r="A54" s="39" t="inlineStr">
        <is>
          <t>2024-12-29</t>
        </is>
      </c>
      <c r="B54" s="18" t="inlineStr">
        <is>
          <t>APAC</t>
        </is>
      </c>
      <c r="C54" s="18" t="inlineStr">
        <is>
          <t>Signal Pro</t>
        </is>
      </c>
      <c r="D54" s="18" t="inlineStr">
        <is>
          <t>Enterprise</t>
        </is>
      </c>
      <c r="E54" s="18" t="inlineStr">
        <is>
          <t>H. Vasquez</t>
        </is>
      </c>
      <c r="F54" s="20" t="n">
        <v>29100</v>
      </c>
      <c r="G54" s="34" t="inlineStr">
        <is>
          <t>Renewal uplift 7%</t>
        </is>
      </c>
    </row>
    <row r="55">
      <c r="A55" s="39" t="inlineStr">
        <is>
          <t>2024-12-05</t>
        </is>
      </c>
      <c r="B55" s="18" t="inlineStr">
        <is>
          <t>AMER West</t>
        </is>
      </c>
      <c r="C55" s="18" t="inlineStr">
        <is>
          <t>Signal Pro</t>
        </is>
      </c>
      <c r="D55" s="18" t="inlineStr">
        <is>
          <t>SMB</t>
        </is>
      </c>
      <c r="E55" s="18" t="inlineStr">
        <is>
          <t>G. Halloran</t>
        </is>
      </c>
      <c r="F55" s="20" t="n">
        <v>24200</v>
      </c>
      <c r="G55" s="34" t="inlineStr">
        <is>
          <t>Competitive displacement</t>
        </is>
      </c>
    </row>
    <row r="56">
      <c r="A56" s="39" t="inlineStr">
        <is>
          <t>2024-12-12</t>
        </is>
      </c>
      <c r="B56" s="18" t="inlineStr">
        <is>
          <t>EMEA</t>
        </is>
      </c>
      <c r="C56" s="18" t="inlineStr">
        <is>
          <t>Signal Core</t>
        </is>
      </c>
      <c r="D56" s="18" t="inlineStr">
        <is>
          <t>Mid-market</t>
        </is>
      </c>
      <c r="E56" s="18" t="inlineStr">
        <is>
          <t>K. Sørensen</t>
        </is>
      </c>
      <c r="F56" s="20" t="n">
        <v>22000</v>
      </c>
      <c r="G56" s="34" t="inlineStr">
        <is>
          <t>Partner-sourced</t>
        </is>
      </c>
    </row>
    <row r="57">
      <c r="A57" s="39" t="inlineStr">
        <is>
          <t>2024-12-19</t>
        </is>
      </c>
      <c r="B57" s="18" t="inlineStr">
        <is>
          <t>AMER East</t>
        </is>
      </c>
      <c r="C57" s="18" t="inlineStr">
        <is>
          <t>Signal Core</t>
        </is>
      </c>
      <c r="D57" s="18" t="inlineStr">
        <is>
          <t>Mid-market</t>
        </is>
      </c>
      <c r="E57" s="18" t="inlineStr">
        <is>
          <t>G. Halloran</t>
        </is>
      </c>
      <c r="F57" s="20" t="n">
        <v>36700</v>
      </c>
      <c r="G57" s="34" t="inlineStr">
        <is>
          <t>Standard list price</t>
        </is>
      </c>
    </row>
    <row r="58">
      <c r="A58" s="39" t="inlineStr">
        <is>
          <t>2024-12-26</t>
        </is>
      </c>
      <c r="B58" s="18" t="inlineStr">
        <is>
          <t>AMER West</t>
        </is>
      </c>
      <c r="C58" s="18" t="inlineStr">
        <is>
          <t>Warehouse Connect</t>
        </is>
      </c>
      <c r="D58" s="18" t="inlineStr">
        <is>
          <t>Mid-market</t>
        </is>
      </c>
      <c r="E58" s="18" t="inlineStr">
        <is>
          <t>H. Vasquez</t>
        </is>
      </c>
      <c r="F58" s="20" t="n">
        <v>67400</v>
      </c>
      <c r="G58" s="34" t="inlineStr">
        <is>
          <t>Co-term with parent</t>
        </is>
      </c>
    </row>
    <row r="59">
      <c r="A59" s="39" t="inlineStr">
        <is>
          <t>2024-12-02</t>
        </is>
      </c>
      <c r="B59" s="18" t="inlineStr">
        <is>
          <t>APAC</t>
        </is>
      </c>
      <c r="C59" s="18" t="inlineStr">
        <is>
          <t>Signal Core</t>
        </is>
      </c>
      <c r="D59" s="18" t="inlineStr">
        <is>
          <t>Enterprise</t>
        </is>
      </c>
      <c r="E59" s="18" t="inlineStr">
        <is>
          <t>A. Okafor</t>
        </is>
      </c>
      <c r="F59" s="20" t="n">
        <v>233100</v>
      </c>
      <c r="G59" s="34" t="inlineStr">
        <is>
          <t>Multi-year prepay</t>
        </is>
      </c>
    </row>
    <row r="60">
      <c r="A60" s="39" t="inlineStr">
        <is>
          <t>2024-12-09</t>
        </is>
      </c>
      <c r="B60" s="18" t="inlineStr">
        <is>
          <t>LATAM</t>
        </is>
      </c>
      <c r="C60" s="18" t="inlineStr">
        <is>
          <t>Embedded Reports</t>
        </is>
      </c>
      <c r="D60" s="18" t="inlineStr">
        <is>
          <t>Enterprise</t>
        </is>
      </c>
      <c r="E60" s="18" t="inlineStr">
        <is>
          <t>J. Adeyemi</t>
        </is>
      </c>
      <c r="F60" s="20" t="n">
        <v>61300</v>
      </c>
      <c r="G60" s="34" t="inlineStr">
        <is>
          <t>Multi-year prepay</t>
        </is>
      </c>
    </row>
    <row r="61">
      <c r="A61" s="39" t="inlineStr">
        <is>
          <t>2024-12-16</t>
        </is>
      </c>
      <c r="B61" s="18" t="inlineStr">
        <is>
          <t>AMER West</t>
        </is>
      </c>
      <c r="C61" s="18" t="inlineStr">
        <is>
          <t>Signal Pro</t>
        </is>
      </c>
      <c r="D61" s="18" t="inlineStr">
        <is>
          <t>Enterprise</t>
        </is>
      </c>
      <c r="E61" s="18" t="inlineStr">
        <is>
          <t>F. Duarte</t>
        </is>
      </c>
      <c r="F61" s="20" t="n">
        <v>31200</v>
      </c>
      <c r="G61" s="34" t="inlineStr">
        <is>
          <t>Pilot converted</t>
        </is>
      </c>
    </row>
    <row r="62">
      <c r="A62" s="39" t="inlineStr">
        <is>
          <t>2024-12-23</t>
        </is>
      </c>
      <c r="B62" s="18" t="inlineStr">
        <is>
          <t>LATAM</t>
        </is>
      </c>
      <c r="C62" s="18" t="inlineStr">
        <is>
          <t>Embedded Reports</t>
        </is>
      </c>
      <c r="D62" s="18" t="inlineStr">
        <is>
          <t>Enterprise</t>
        </is>
      </c>
      <c r="E62" s="18" t="inlineStr">
        <is>
          <t>J. Adeyemi</t>
        </is>
      </c>
      <c r="F62" s="20" t="n">
        <v>110800</v>
      </c>
      <c r="G62" s="34" t="inlineStr">
        <is>
          <t>Ramped deal, year one</t>
        </is>
      </c>
    </row>
    <row r="63">
      <c r="A63" s="39" t="inlineStr">
        <is>
          <t>2024-12-30</t>
        </is>
      </c>
      <c r="B63" s="18" t="inlineStr">
        <is>
          <t>APAC</t>
        </is>
      </c>
      <c r="C63" s="18" t="inlineStr">
        <is>
          <t>Signal Core</t>
        </is>
      </c>
      <c r="D63" s="18" t="inlineStr">
        <is>
          <t>SMB</t>
        </is>
      </c>
      <c r="E63" s="18" t="inlineStr">
        <is>
          <t>E. Nakamura</t>
        </is>
      </c>
      <c r="F63" s="20" t="n">
        <v>161100</v>
      </c>
      <c r="G63" s="34" t="inlineStr">
        <is>
          <t>Partner-sourced</t>
        </is>
      </c>
    </row>
    <row r="64">
      <c r="A64" s="39" t="inlineStr">
        <is>
          <t>2024-12-06</t>
        </is>
      </c>
      <c r="B64" s="18" t="inlineStr">
        <is>
          <t>LATAM</t>
        </is>
      </c>
      <c r="C64" s="18" t="inlineStr">
        <is>
          <t>Warehouse Connect</t>
        </is>
      </c>
      <c r="D64" s="18" t="inlineStr">
        <is>
          <t>Mid-market</t>
        </is>
      </c>
      <c r="E64" s="18" t="inlineStr">
        <is>
          <t>G. Halloran</t>
        </is>
      </c>
      <c r="F64" s="20" t="n">
        <v>33800</v>
      </c>
      <c r="G64" s="34" t="inlineStr">
        <is>
          <t>Multi-year prepay</t>
        </is>
      </c>
    </row>
    <row r="65">
      <c r="A65" s="39" t="inlineStr">
        <is>
          <t>2024-12-13</t>
        </is>
      </c>
      <c r="B65" s="18" t="inlineStr">
        <is>
          <t>APAC</t>
        </is>
      </c>
      <c r="C65" s="18" t="inlineStr">
        <is>
          <t>Alerts add-on</t>
        </is>
      </c>
      <c r="D65" s="18" t="inlineStr">
        <is>
          <t>Mid-market</t>
        </is>
      </c>
      <c r="E65" s="18" t="inlineStr">
        <is>
          <t>H. Vasquez</t>
        </is>
      </c>
      <c r="F65" s="20" t="n">
        <v>8700</v>
      </c>
      <c r="G65" s="34" t="inlineStr">
        <is>
          <t>Multi-year prepay</t>
        </is>
      </c>
    </row>
    <row r="66">
      <c r="A66" s="39" t="inlineStr">
        <is>
          <t>2024-12-20</t>
        </is>
      </c>
      <c r="B66" s="18" t="inlineStr">
        <is>
          <t>EMEA</t>
        </is>
      </c>
      <c r="C66" s="18" t="inlineStr">
        <is>
          <t>Signal Pro</t>
        </is>
      </c>
      <c r="D66" s="18" t="inlineStr">
        <is>
          <t>Enterprise</t>
        </is>
      </c>
      <c r="E66" s="18" t="inlineStr">
        <is>
          <t>J. Adeyemi</t>
        </is>
      </c>
      <c r="F66" s="20" t="n">
        <v>71200</v>
      </c>
      <c r="G66" s="34" t="inlineStr">
        <is>
          <t>Co-term with parent</t>
        </is>
      </c>
    </row>
    <row r="67">
      <c r="A67" s="39" t="inlineStr">
        <is>
          <t>2024-12-27</t>
        </is>
      </c>
      <c r="B67" s="18" t="inlineStr">
        <is>
          <t>APAC</t>
        </is>
      </c>
      <c r="C67" s="18" t="inlineStr">
        <is>
          <t>Alerts add-on</t>
        </is>
      </c>
      <c r="D67" s="18" t="inlineStr">
        <is>
          <t>SMB</t>
        </is>
      </c>
      <c r="E67" s="18" t="inlineStr">
        <is>
          <t>G. Halloran</t>
        </is>
      </c>
      <c r="F67" s="20" t="n">
        <v>18200</v>
      </c>
      <c r="G67" s="34" t="inlineStr">
        <is>
          <t>Co-term with parent</t>
        </is>
      </c>
    </row>
    <row r="68">
      <c r="A68" s="39" t="inlineStr">
        <is>
          <t>2024-12-03</t>
        </is>
      </c>
      <c r="B68" s="18" t="inlineStr">
        <is>
          <t>AMER East</t>
        </is>
      </c>
      <c r="C68" s="18" t="inlineStr">
        <is>
          <t>Alerts add-on</t>
        </is>
      </c>
      <c r="D68" s="18" t="inlineStr">
        <is>
          <t>Mid-market</t>
        </is>
      </c>
      <c r="E68" s="18" t="inlineStr">
        <is>
          <t>A. Okafor</t>
        </is>
      </c>
      <c r="F68" s="20" t="n">
        <v>28100</v>
      </c>
      <c r="G68" s="34" t="inlineStr">
        <is>
          <t>Partner-sourced</t>
        </is>
      </c>
    </row>
    <row r="69">
      <c r="A69" s="39" t="inlineStr">
        <is>
          <t>2024-12-10</t>
        </is>
      </c>
      <c r="B69" s="18" t="inlineStr">
        <is>
          <t>APAC</t>
        </is>
      </c>
      <c r="C69" s="18" t="inlineStr">
        <is>
          <t>Alerts add-on</t>
        </is>
      </c>
      <c r="D69" s="18" t="inlineStr">
        <is>
          <t>Mid-market</t>
        </is>
      </c>
      <c r="E69" s="18" t="inlineStr">
        <is>
          <t>H. Vasquez</t>
        </is>
      </c>
      <c r="F69" s="20" t="n">
        <v>43300</v>
      </c>
      <c r="G69" s="34" t="inlineStr">
        <is>
          <t>Co-term with parent</t>
        </is>
      </c>
    </row>
    <row r="70">
      <c r="A70" s="39" t="inlineStr">
        <is>
          <t>2024-12-17</t>
        </is>
      </c>
      <c r="B70" s="18" t="inlineStr">
        <is>
          <t>EMEA</t>
        </is>
      </c>
      <c r="C70" s="18" t="inlineStr">
        <is>
          <t>Signal Pro</t>
        </is>
      </c>
      <c r="D70" s="18" t="inlineStr">
        <is>
          <t>Mid-market</t>
        </is>
      </c>
      <c r="E70" s="18" t="inlineStr">
        <is>
          <t>D. Chatterjee</t>
        </is>
      </c>
      <c r="F70" s="20" t="n">
        <v>61500</v>
      </c>
      <c r="G70" s="34" t="inlineStr">
        <is>
          <t>Partner-sourced</t>
        </is>
      </c>
    </row>
    <row r="71">
      <c r="A71" s="39" t="inlineStr">
        <is>
          <t>2024-12-24</t>
        </is>
      </c>
      <c r="B71" s="18" t="inlineStr">
        <is>
          <t>LATAM</t>
        </is>
      </c>
      <c r="C71" s="18" t="inlineStr">
        <is>
          <t>Signal Pro</t>
        </is>
      </c>
      <c r="D71" s="18" t="inlineStr">
        <is>
          <t>Mid-market</t>
        </is>
      </c>
      <c r="E71" s="18" t="inlineStr">
        <is>
          <t>E. Nakamura</t>
        </is>
      </c>
      <c r="F71" s="20" t="n">
        <v>72900</v>
      </c>
      <c r="G71" s="34" t="inlineStr">
        <is>
          <t>Partner-sourced</t>
        </is>
      </c>
    </row>
    <row r="72">
      <c r="A72" s="39" t="inlineStr">
        <is>
          <t>2024-12-31</t>
        </is>
      </c>
      <c r="B72" s="18" t="inlineStr">
        <is>
          <t>LATAM</t>
        </is>
      </c>
      <c r="C72" s="18" t="inlineStr">
        <is>
          <t>Signal Core</t>
        </is>
      </c>
      <c r="D72" s="18" t="inlineStr">
        <is>
          <t>SMB</t>
        </is>
      </c>
      <c r="E72" s="18" t="inlineStr">
        <is>
          <t>G. Halloran</t>
        </is>
      </c>
      <c r="F72" s="20" t="n">
        <v>83200</v>
      </c>
      <c r="G72" s="34" t="inlineStr">
        <is>
          <t>Co-term with parent</t>
        </is>
      </c>
    </row>
    <row r="73">
      <c r="A73" s="39" t="inlineStr">
        <is>
          <t>2024-12-07</t>
        </is>
      </c>
      <c r="B73" s="18" t="inlineStr">
        <is>
          <t>APAC</t>
        </is>
      </c>
      <c r="C73" s="18" t="inlineStr">
        <is>
          <t>Signal Pro</t>
        </is>
      </c>
      <c r="D73" s="18" t="inlineStr">
        <is>
          <t>SMB</t>
        </is>
      </c>
      <c r="E73" s="18" t="inlineStr">
        <is>
          <t>E. Nakamura</t>
        </is>
      </c>
      <c r="F73" s="20" t="n">
        <v>53900</v>
      </c>
      <c r="G73" s="34" t="inlineStr">
        <is>
          <t>Multi-year prepay</t>
        </is>
      </c>
    </row>
    <row r="74">
      <c r="A74" s="39" t="inlineStr">
        <is>
          <t>2024-12-14</t>
        </is>
      </c>
      <c r="B74" s="18" t="inlineStr">
        <is>
          <t>AMER East</t>
        </is>
      </c>
      <c r="C74" s="18" t="inlineStr">
        <is>
          <t>Warehouse Connect</t>
        </is>
      </c>
      <c r="D74" s="18" t="inlineStr">
        <is>
          <t>Enterprise</t>
        </is>
      </c>
      <c r="E74" s="18" t="inlineStr">
        <is>
          <t>J. Adeyemi</t>
        </is>
      </c>
      <c r="F74" s="20" t="n">
        <v>75300</v>
      </c>
      <c r="G74" s="34" t="inlineStr">
        <is>
          <t>Multi-year prepay</t>
        </is>
      </c>
    </row>
    <row r="75">
      <c r="A75" s="39" t="inlineStr">
        <is>
          <t>2024-12-21</t>
        </is>
      </c>
      <c r="B75" s="18" t="inlineStr">
        <is>
          <t>APAC</t>
        </is>
      </c>
      <c r="C75" s="18" t="inlineStr">
        <is>
          <t>Signal Core</t>
        </is>
      </c>
      <c r="D75" s="18" t="inlineStr">
        <is>
          <t>Enterprise</t>
        </is>
      </c>
      <c r="E75" s="18" t="inlineStr">
        <is>
          <t>C. Marín</t>
        </is>
      </c>
      <c r="F75" s="20" t="n">
        <v>15600</v>
      </c>
      <c r="G75" s="34" t="inlineStr">
        <is>
          <t>Partner-sourced</t>
        </is>
      </c>
    </row>
    <row r="76">
      <c r="A76" s="39" t="inlineStr">
        <is>
          <t>2024-12-28</t>
        </is>
      </c>
      <c r="B76" s="18" t="inlineStr">
        <is>
          <t>EMEA</t>
        </is>
      </c>
      <c r="C76" s="18" t="inlineStr">
        <is>
          <t>Embedded Reports</t>
        </is>
      </c>
      <c r="D76" s="18" t="inlineStr">
        <is>
          <t>Mid-market</t>
        </is>
      </c>
      <c r="E76" s="18" t="inlineStr">
        <is>
          <t>B. Lindqvist</t>
        </is>
      </c>
      <c r="F76" s="20" t="n">
        <v>35800</v>
      </c>
      <c r="G76" s="34" t="inlineStr">
        <is>
          <t>Competitive displacement</t>
        </is>
      </c>
    </row>
    <row r="77">
      <c r="A77" s="39" t="inlineStr">
        <is>
          <t>2024-12-04</t>
        </is>
      </c>
      <c r="B77" s="18" t="inlineStr">
        <is>
          <t>EMEA</t>
        </is>
      </c>
      <c r="C77" s="18" t="inlineStr">
        <is>
          <t>Embedded Reports</t>
        </is>
      </c>
      <c r="D77" s="18" t="inlineStr">
        <is>
          <t>Enterprise</t>
        </is>
      </c>
      <c r="E77" s="18" t="inlineStr">
        <is>
          <t>B. Lindqvist</t>
        </is>
      </c>
      <c r="F77" s="20" t="n">
        <v>11000</v>
      </c>
      <c r="G77" s="34" t="inlineStr">
        <is>
          <t>Co-term with parent</t>
        </is>
      </c>
    </row>
    <row r="78">
      <c r="A78" s="39" t="inlineStr">
        <is>
          <t>2024-12-11</t>
        </is>
      </c>
      <c r="B78" s="18" t="inlineStr">
        <is>
          <t>LATAM</t>
        </is>
      </c>
      <c r="C78" s="18" t="inlineStr">
        <is>
          <t>Warehouse Connect</t>
        </is>
      </c>
      <c r="D78" s="18" t="inlineStr">
        <is>
          <t>Enterprise</t>
        </is>
      </c>
      <c r="E78" s="18" t="inlineStr">
        <is>
          <t>F. Duarte</t>
        </is>
      </c>
      <c r="F78" s="20" t="n">
        <v>71500</v>
      </c>
      <c r="G78" s="34" t="inlineStr">
        <is>
          <t>Co-term with parent</t>
        </is>
      </c>
    </row>
    <row r="79">
      <c r="A79" s="39" t="inlineStr">
        <is>
          <t>2024-12-18</t>
        </is>
      </c>
      <c r="B79" s="18" t="inlineStr">
        <is>
          <t>AMER West</t>
        </is>
      </c>
      <c r="C79" s="18" t="inlineStr">
        <is>
          <t>Embedded Reports</t>
        </is>
      </c>
      <c r="D79" s="18" t="inlineStr">
        <is>
          <t>Enterprise</t>
        </is>
      </c>
      <c r="E79" s="18" t="inlineStr">
        <is>
          <t>D. Chatterjee</t>
        </is>
      </c>
      <c r="F79" s="20" t="n">
        <v>59400</v>
      </c>
      <c r="G79" s="34" t="inlineStr">
        <is>
          <t>Partner-sourced</t>
        </is>
      </c>
    </row>
    <row r="80">
      <c r="A80" s="39" t="inlineStr">
        <is>
          <t>2024-12-25</t>
        </is>
      </c>
      <c r="B80" s="18" t="inlineStr">
        <is>
          <t>AMER West</t>
        </is>
      </c>
      <c r="C80" s="18" t="inlineStr">
        <is>
          <t>Warehouse Connect</t>
        </is>
      </c>
      <c r="D80" s="18" t="inlineStr">
        <is>
          <t>SMB</t>
        </is>
      </c>
      <c r="E80" s="18" t="inlineStr">
        <is>
          <t>G. Halloran</t>
        </is>
      </c>
      <c r="F80" s="20" t="n">
        <v>181500</v>
      </c>
      <c r="G80" s="34" t="inlineStr">
        <is>
          <t>Renewal uplift 7%</t>
        </is>
      </c>
    </row>
    <row r="81">
      <c r="A81" s="39" t="inlineStr">
        <is>
          <t>2024-12-01</t>
        </is>
      </c>
      <c r="B81" s="18" t="inlineStr">
        <is>
          <t>APAC</t>
        </is>
      </c>
      <c r="C81" s="18" t="inlineStr">
        <is>
          <t>Warehouse Connect</t>
        </is>
      </c>
      <c r="D81" s="18" t="inlineStr">
        <is>
          <t>Mid-market</t>
        </is>
      </c>
      <c r="E81" s="18" t="inlineStr">
        <is>
          <t>J. Adeyemi</t>
        </is>
      </c>
      <c r="F81" s="20" t="n">
        <v>64300</v>
      </c>
      <c r="G81" s="34" t="inlineStr">
        <is>
          <t>Co-term with parent</t>
        </is>
      </c>
    </row>
    <row r="82">
      <c r="A82" s="39" t="inlineStr">
        <is>
          <t>2024-12-08</t>
        </is>
      </c>
      <c r="B82" s="18" t="inlineStr">
        <is>
          <t>EMEA</t>
        </is>
      </c>
      <c r="C82" s="18" t="inlineStr">
        <is>
          <t>Signal Core</t>
        </is>
      </c>
      <c r="D82" s="18" t="inlineStr">
        <is>
          <t>Enterprise</t>
        </is>
      </c>
      <c r="E82" s="18" t="inlineStr">
        <is>
          <t>H. Vasquez</t>
        </is>
      </c>
      <c r="F82" s="20" t="n">
        <v>19700</v>
      </c>
      <c r="G82" s="34" t="inlineStr">
        <is>
          <t>Ramped deal, year one</t>
        </is>
      </c>
    </row>
    <row r="83">
      <c r="A83" s="39" t="inlineStr">
        <is>
          <t>2024-12-15</t>
        </is>
      </c>
      <c r="B83" s="18" t="inlineStr">
        <is>
          <t>AMER East</t>
        </is>
      </c>
      <c r="C83" s="18" t="inlineStr">
        <is>
          <t>Signal Core</t>
        </is>
      </c>
      <c r="D83" s="18" t="inlineStr">
        <is>
          <t>Enterprise</t>
        </is>
      </c>
      <c r="E83" s="18" t="inlineStr">
        <is>
          <t>C. Marín</t>
        </is>
      </c>
      <c r="F83" s="20" t="n">
        <v>180000</v>
      </c>
      <c r="G83" s="34" t="inlineStr">
        <is>
          <t>Competitive displacement</t>
        </is>
      </c>
    </row>
    <row r="84">
      <c r="A84" s="39" t="inlineStr">
        <is>
          <t>2024-12-22</t>
        </is>
      </c>
      <c r="B84" s="18" t="inlineStr">
        <is>
          <t>LATAM</t>
        </is>
      </c>
      <c r="C84" s="18" t="inlineStr">
        <is>
          <t>Warehouse Connect</t>
        </is>
      </c>
      <c r="D84" s="18" t="inlineStr">
        <is>
          <t>SMB</t>
        </is>
      </c>
      <c r="E84" s="18" t="inlineStr">
        <is>
          <t>D. Chatterjee</t>
        </is>
      </c>
      <c r="F84" s="20" t="n">
        <v>30900</v>
      </c>
      <c r="G84" s="34" t="inlineStr">
        <is>
          <t>Multi-year prepay</t>
        </is>
      </c>
    </row>
    <row r="85">
      <c r="A85" s="39" t="inlineStr">
        <is>
          <t>2024-12-29</t>
        </is>
      </c>
      <c r="B85" s="18" t="inlineStr">
        <is>
          <t>LATAM</t>
        </is>
      </c>
      <c r="C85" s="18" t="inlineStr">
        <is>
          <t>Signal Pro</t>
        </is>
      </c>
      <c r="D85" s="18" t="inlineStr">
        <is>
          <t>SMB</t>
        </is>
      </c>
      <c r="E85" s="18" t="inlineStr">
        <is>
          <t>G. Halloran</t>
        </is>
      </c>
      <c r="F85" s="20" t="n">
        <v>61300</v>
      </c>
      <c r="G85" s="34" t="inlineStr">
        <is>
          <t>Co-term with parent</t>
        </is>
      </c>
    </row>
    <row r="86">
      <c r="A86" s="39" t="inlineStr">
        <is>
          <t>2024-12-05</t>
        </is>
      </c>
      <c r="B86" s="18" t="inlineStr">
        <is>
          <t>APAC</t>
        </is>
      </c>
      <c r="C86" s="18" t="inlineStr">
        <is>
          <t>Signal Core</t>
        </is>
      </c>
      <c r="D86" s="18" t="inlineStr">
        <is>
          <t>Mid-market</t>
        </is>
      </c>
      <c r="E86" s="18" t="inlineStr">
        <is>
          <t>D. Chatterjee</t>
        </is>
      </c>
      <c r="F86" s="20" t="n">
        <v>59600</v>
      </c>
      <c r="G86" s="34" t="inlineStr">
        <is>
          <t>Renewal uplift 7%</t>
        </is>
      </c>
    </row>
    <row r="87">
      <c r="A87" s="39" t="inlineStr">
        <is>
          <t>2024-12-12</t>
        </is>
      </c>
      <c r="B87" s="18" t="inlineStr">
        <is>
          <t>AMER West</t>
        </is>
      </c>
      <c r="C87" s="18" t="inlineStr">
        <is>
          <t>Signal Core</t>
        </is>
      </c>
      <c r="D87" s="18" t="inlineStr">
        <is>
          <t>SMB</t>
        </is>
      </c>
      <c r="E87" s="18" t="inlineStr">
        <is>
          <t>H. Vasquez</t>
        </is>
      </c>
      <c r="F87" s="20" t="n">
        <v>47100</v>
      </c>
      <c r="G87" s="34" t="inlineStr">
        <is>
          <t>Standard list price</t>
        </is>
      </c>
    </row>
    <row r="88">
      <c r="A88" s="39" t="inlineStr">
        <is>
          <t>2024-12-19</t>
        </is>
      </c>
      <c r="B88" s="18" t="inlineStr">
        <is>
          <t>AMER West</t>
        </is>
      </c>
      <c r="C88" s="18" t="inlineStr">
        <is>
          <t>Signal Pro</t>
        </is>
      </c>
      <c r="D88" s="18" t="inlineStr">
        <is>
          <t>Mid-market</t>
        </is>
      </c>
      <c r="E88" s="18" t="inlineStr">
        <is>
          <t>B. Lindqvist</t>
        </is>
      </c>
      <c r="F88" s="20" t="n">
        <v>50300</v>
      </c>
      <c r="G88" s="34" t="inlineStr">
        <is>
          <t>Partner-sourced</t>
        </is>
      </c>
    </row>
    <row r="89">
      <c r="A89" s="39" t="inlineStr">
        <is>
          <t>2024-12-26</t>
        </is>
      </c>
      <c r="B89" s="18" t="inlineStr">
        <is>
          <t>LATAM</t>
        </is>
      </c>
      <c r="C89" s="18" t="inlineStr">
        <is>
          <t>Embedded Reports</t>
        </is>
      </c>
      <c r="D89" s="18" t="inlineStr">
        <is>
          <t>SMB</t>
        </is>
      </c>
      <c r="E89" s="18" t="inlineStr">
        <is>
          <t>F. Duarte</t>
        </is>
      </c>
      <c r="F89" s="20" t="n">
        <v>58200</v>
      </c>
      <c r="G89" s="34" t="inlineStr">
        <is>
          <t>Co-term with parent</t>
        </is>
      </c>
    </row>
    <row r="90">
      <c r="A90" s="39" t="inlineStr">
        <is>
          <t>2024-12-02</t>
        </is>
      </c>
      <c r="B90" s="18" t="inlineStr">
        <is>
          <t>EMEA</t>
        </is>
      </c>
      <c r="C90" s="18" t="inlineStr">
        <is>
          <t>Signal Core</t>
        </is>
      </c>
      <c r="D90" s="18" t="inlineStr">
        <is>
          <t>Enterprise</t>
        </is>
      </c>
      <c r="E90" s="18" t="inlineStr">
        <is>
          <t>F. Duarte</t>
        </is>
      </c>
      <c r="F90" s="20" t="n">
        <v>65700</v>
      </c>
      <c r="G90" s="34" t="inlineStr">
        <is>
          <t>Competitive displacement</t>
        </is>
      </c>
    </row>
    <row r="91">
      <c r="A91" s="39" t="inlineStr">
        <is>
          <t>2024-12-09</t>
        </is>
      </c>
      <c r="B91" s="18" t="inlineStr">
        <is>
          <t>AMER West</t>
        </is>
      </c>
      <c r="C91" s="18" t="inlineStr">
        <is>
          <t>Alerts add-on</t>
        </is>
      </c>
      <c r="D91" s="18" t="inlineStr">
        <is>
          <t>Enterprise</t>
        </is>
      </c>
      <c r="E91" s="18" t="inlineStr">
        <is>
          <t>F. Duarte</t>
        </is>
      </c>
      <c r="F91" s="20" t="n">
        <v>23900</v>
      </c>
      <c r="G91" s="34" t="inlineStr">
        <is>
          <t>Renewal uplift 7%</t>
        </is>
      </c>
    </row>
    <row r="92">
      <c r="A92" s="39" t="inlineStr">
        <is>
          <t>2024-12-16</t>
        </is>
      </c>
      <c r="B92" s="18" t="inlineStr">
        <is>
          <t>LATAM</t>
        </is>
      </c>
      <c r="C92" s="18" t="inlineStr">
        <is>
          <t>Alerts add-on</t>
        </is>
      </c>
      <c r="D92" s="18" t="inlineStr">
        <is>
          <t>Mid-market</t>
        </is>
      </c>
      <c r="E92" s="18" t="inlineStr">
        <is>
          <t>A. Okafor</t>
        </is>
      </c>
      <c r="F92" s="20" t="n">
        <v>34700</v>
      </c>
      <c r="G92" s="34" t="inlineStr">
        <is>
          <t>Pilot converted</t>
        </is>
      </c>
    </row>
    <row r="93">
      <c r="A93" s="39" t="inlineStr">
        <is>
          <t>2024-12-23</t>
        </is>
      </c>
      <c r="B93" s="18" t="inlineStr">
        <is>
          <t>LATAM</t>
        </is>
      </c>
      <c r="C93" s="18" t="inlineStr">
        <is>
          <t>Alerts add-on</t>
        </is>
      </c>
      <c r="D93" s="18" t="inlineStr">
        <is>
          <t>SMB</t>
        </is>
      </c>
      <c r="E93" s="18" t="inlineStr">
        <is>
          <t>K. Sørensen</t>
        </is>
      </c>
      <c r="F93" s="20" t="n">
        <v>199800</v>
      </c>
      <c r="G93" s="34" t="inlineStr">
        <is>
          <t>Competitive displacement</t>
        </is>
      </c>
    </row>
    <row r="94">
      <c r="A94" s="39" t="inlineStr">
        <is>
          <t>2024-12-30</t>
        </is>
      </c>
      <c r="B94" s="18" t="inlineStr">
        <is>
          <t>AMER East</t>
        </is>
      </c>
      <c r="C94" s="18" t="inlineStr">
        <is>
          <t>Signal Core</t>
        </is>
      </c>
      <c r="D94" s="18" t="inlineStr">
        <is>
          <t>SMB</t>
        </is>
      </c>
      <c r="E94" s="18" t="inlineStr">
        <is>
          <t>H. Vasquez</t>
        </is>
      </c>
      <c r="F94" s="20" t="n">
        <v>117900</v>
      </c>
      <c r="G94" s="34" t="inlineStr">
        <is>
          <t>Co-term with parent</t>
        </is>
      </c>
    </row>
    <row r="95">
      <c r="A95" s="39" t="inlineStr">
        <is>
          <t>2024-12-06</t>
        </is>
      </c>
      <c r="B95" s="18" t="inlineStr">
        <is>
          <t>APAC</t>
        </is>
      </c>
      <c r="C95" s="18" t="inlineStr">
        <is>
          <t>Warehouse Connect</t>
        </is>
      </c>
      <c r="D95" s="18" t="inlineStr">
        <is>
          <t>Enterprise</t>
        </is>
      </c>
      <c r="E95" s="18" t="inlineStr">
        <is>
          <t>C. Marín</t>
        </is>
      </c>
      <c r="F95" s="20" t="n">
        <v>66000</v>
      </c>
      <c r="G95" s="34" t="inlineStr">
        <is>
          <t>Renewal uplift 7%</t>
        </is>
      </c>
    </row>
    <row r="96">
      <c r="A96" s="39" t="inlineStr">
        <is>
          <t>2024-12-13</t>
        </is>
      </c>
      <c r="B96" s="18" t="inlineStr">
        <is>
          <t>EMEA</t>
        </is>
      </c>
      <c r="C96" s="18" t="inlineStr">
        <is>
          <t>Signal Pro</t>
        </is>
      </c>
      <c r="D96" s="18" t="inlineStr">
        <is>
          <t>Enterprise</t>
        </is>
      </c>
      <c r="E96" s="18" t="inlineStr">
        <is>
          <t>F. Duarte</t>
        </is>
      </c>
      <c r="F96" s="20" t="n">
        <v>50000</v>
      </c>
      <c r="G96" s="34" t="inlineStr">
        <is>
          <t>Ramped deal, year one</t>
        </is>
      </c>
    </row>
    <row r="97">
      <c r="A97" s="39" t="inlineStr">
        <is>
          <t>2024-12-20</t>
        </is>
      </c>
      <c r="B97" s="18" t="inlineStr">
        <is>
          <t>APAC</t>
        </is>
      </c>
      <c r="C97" s="18" t="inlineStr">
        <is>
          <t>Warehouse Connect</t>
        </is>
      </c>
      <c r="D97" s="18" t="inlineStr">
        <is>
          <t>Mid-market</t>
        </is>
      </c>
      <c r="E97" s="18" t="inlineStr">
        <is>
          <t>F. Duarte</t>
        </is>
      </c>
      <c r="F97" s="20" t="n">
        <v>54200</v>
      </c>
      <c r="G97" s="34" t="inlineStr">
        <is>
          <t>Pilot converted</t>
        </is>
      </c>
    </row>
    <row r="98">
      <c r="A98" s="27" t="inlineStr">
        <is>
          <t>Total</t>
        </is>
      </c>
      <c r="B98" s="31" t="n"/>
      <c r="C98" s="31" t="n"/>
      <c r="D98" s="31" t="n"/>
      <c r="E98" s="31" t="n"/>
      <c r="F98" s="30">
        <f>SUM(F2:F97)</f>
        <v/>
      </c>
      <c r="G98" s="31" t="n"/>
    </row>
  </sheetData>
  <autoFilter ref="A1:G97"/>
  <pageMargins left="0.5" right="0.5" top="0.75" bottom="0.75" header="0.5" footer="0.5"/>
  <pageSetup orientation="landscape" fitToHeight="0" fitToWidth="1"/>
  <headerFooter>
    <oddHeader>&amp;L&amp;9 &amp;K1F4E79Northstar Analytics — FY2026 Q3 Board Pack&amp;R&amp;9 &amp;KC00000CONFIDENTIAL</oddHeader>
    <oddFooter>&amp;L&amp;8 &amp;K595959Prepared by Priya Shah, VP Finance · 17 August 2026&amp;R&amp;8 &amp;K595959&amp;P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Shah, VP Finance</dc:creator>
  <dc:title xmlns:dc="http://purl.org/dc/elements/1.1/">Northstar Analytics — FY2026 Q3 Board Pack</dc:title>
  <dc:description xmlns:dc="http://purl.org/dc/elements/1.1/">Northstar Analytics FY2026 Q3 Board Pack. Gold cells are inputs; Inputs!B2 is the named range Rate.</dc:description>
  <dc:subject xmlns:dc="http://purl.org/dc/elements/1.1/">Q3 operating review, ARR bridge and FY2024 appendix</dc:subject>
  <dcterms:created xmlns:dcterms="http://purl.org/dc/terms/" xmlns:xsi="http://www.w3.org/2001/XMLSchema-instance" xsi:type="dcterms:W3CDTF">2026-08-17T09:00:00Z</dcterms:created>
  <dcterms:modified xmlns:dcterms="http://purl.org/dc/terms/" xmlns:xsi="http://www.w3.org/2001/XMLSchema-instance" xsi:type="dcterms:W3CDTF">2026-08-17T13:02:22Z</dcterms:modified>
  <cp:lastModifiedBy>Priya Shah, VP Finance</cp:lastModifiedBy>
  <cp:category>Board reporting</cp:category>
  <cp:keywords>Northstar Analytics; FY2026; Q3; board pack; confidential</cp:keywords>
</cp:coreProperties>
</file>