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Regions" sheetId="2" r:id="rId2"/>
    <sheet name="Revenue" sheetId="3" r:id="rId3"/>
    <sheet name="Income" sheetId="4" r:id="rId4"/>
    <sheet name="Board" sheetId="5" r:id="rId5"/>
  </sheets>
  <calcPr calcId="124519" fullCalcOnLoad="1"/>
</workbook>
</file>

<file path=xl/sharedStrings.xml><?xml version="1.0" encoding="utf-8"?>
<sst xmlns="http://schemas.openxmlformats.org/spreadsheetml/2006/main" count="100" uniqueCount="53">
  <si>
    <t>Driver</t>
  </si>
  <si>
    <t>Value</t>
  </si>
  <si>
    <t>ListPrice</t>
  </si>
  <si>
    <t>MoMGrowth</t>
  </si>
  <si>
    <t>Churn</t>
  </si>
  <si>
    <t>COGS%</t>
  </si>
  <si>
    <t>MonthlyOpEx</t>
  </si>
  <si>
    <t>TaxRate</t>
  </si>
  <si>
    <t>SeatsPerAcct</t>
  </si>
  <si>
    <t>Discount</t>
  </si>
  <si>
    <t>SupportCost</t>
  </si>
  <si>
    <t>MarketingPct</t>
  </si>
  <si>
    <t>TargetMargin</t>
  </si>
  <si>
    <t>Acme SaaS FY2026 — edit B2:B5 in the YC demo</t>
  </si>
  <si>
    <t>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</si>
  <si>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</si>
  <si>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</si>
  <si>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</si>
  <si>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</si>
  <si>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</si>
  <si>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</si>
  <si>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</si>
  <si>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</si>
  <si>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</si>
  <si>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</si>
  <si>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</si>
  <si>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</si>
  <si>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Americas</t>
  </si>
  <si>
    <t>EMEA</t>
  </si>
  <si>
    <t>APAC</t>
  </si>
  <si>
    <t>LATAM</t>
  </si>
  <si>
    <t>ANZ</t>
  </si>
  <si>
    <t>India</t>
  </si>
  <si>
    <t>Japan</t>
  </si>
  <si>
    <t>Canada</t>
  </si>
  <si>
    <t>Line Item</t>
  </si>
  <si>
    <t>FY Total</t>
  </si>
  <si>
    <t>Revenue</t>
  </si>
  <si>
    <t>COGS</t>
  </si>
  <si>
    <t>Gross Profit</t>
  </si>
  <si>
    <t>OpEx</t>
  </si>
  <si>
    <t>EBT</t>
  </si>
  <si>
    <t>Tax</t>
  </si>
  <si>
    <t>Net Income</t>
  </si>
  <si>
    <t>KPI</t>
  </si>
  <si>
    <t>ARR</t>
  </si>
  <si>
    <t>MRR</t>
  </si>
  <si>
    <t>FY Revenue</t>
  </si>
  <si>
    <t>Gross Margin</t>
  </si>
  <si>
    <t>FY Net Income</t>
  </si>
  <si>
    <t>List Price</t>
  </si>
  <si>
    <t>Month</t>
  </si>
  <si>
    <t>Board pack — chart is preserve-only in the Dotall demo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</si>
</sst>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%"/>
    <numFmt numFmtId="166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3" borderId="0" xfId="0" applyFont="1" applyFill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FY2026 Monthly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Monthly Revenue</c:v>
          </c:tx>
          <c:cat>
            <c:strRef>
              <c:f>Board!$B$25:$M$25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Board!$B$26:$M$26</c:f>
              <c:numCache>
                <c:formatCode>General</c:formatCode>
                <c:ptCount val="12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209550</xdr:colOff>
      <xdr:row>14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</sheetPr>
  <dimension ref="A1:B14"/>
  <sheetViews>
    <sheetView tabSelected="1" workbookViewId="0"/>
  </sheetViews>
  <sheetFormatPr defaultRowHeight="15"/>
  <cols>
    <col min="1" max="1" width="18.7109375" customWidth="1"/>
    <col min="2" max="2" width="1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49</v>
      </c>
    </row>
    <row r="3" spans="1:2">
      <c r="A3" s="2" t="s">
        <v>3</v>
      </c>
      <c r="B3" s="4">
        <v>0.08</v>
      </c>
    </row>
    <row r="4" spans="1:2">
      <c r="A4" s="2" t="s">
        <v>4</v>
      </c>
      <c r="B4" s="4">
        <v>0.02</v>
      </c>
    </row>
    <row r="5" spans="1:2">
      <c r="A5" s="2" t="s">
        <v>5</v>
      </c>
      <c r="B5" s="4">
        <v>0.22</v>
      </c>
    </row>
    <row r="6" spans="1:2">
      <c r="A6" s="2" t="s">
        <v>6</v>
      </c>
      <c r="B6" s="3">
        <v>85000</v>
      </c>
    </row>
    <row r="7" spans="1:2">
      <c r="A7" s="2" t="s">
        <v>7</v>
      </c>
      <c r="B7" s="4">
        <v>0.21</v>
      </c>
    </row>
    <row r="8" spans="1:2">
      <c r="A8" s="2" t="s">
        <v>8</v>
      </c>
      <c r="B8">
        <v>12</v>
      </c>
    </row>
    <row r="9" spans="1:2">
      <c r="A9" s="2" t="s">
        <v>9</v>
      </c>
      <c r="B9" s="4">
        <v>0.1</v>
      </c>
    </row>
    <row r="10" spans="1:2">
      <c r="A10" s="2" t="s">
        <v>10</v>
      </c>
      <c r="B10" s="3">
        <v>4.5</v>
      </c>
    </row>
    <row r="11" spans="1:2">
      <c r="A11" s="2" t="s">
        <v>11</v>
      </c>
      <c r="B11" s="4">
        <v>0.12</v>
      </c>
    </row>
    <row r="12" spans="1:2">
      <c r="A12" s="2" t="s">
        <v>12</v>
      </c>
      <c r="B12" s="4">
        <v>0.55</v>
      </c>
    </row>
    <row r="14" spans="1:2">
      <c r="A1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5B6"/>
  </sheetPr>
  <dimension ref="A1:M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4.7109375" customWidth="1"/>
  </cols>
  <sheetData>
    <row r="1" spans="1: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>
      <c r="A2" t="s">
        <v>27</v>
      </c>
      <c r="B2" s="5">
        <v>1200</v>
      </c>
      <c r="C2" s="5">
        <f>B2*(1+Assumptions!$B$3)</f>
        <v>1296</v>
      </c>
      <c r="D2" s="5">
        <f>C2*(1+Assumptions!$B$3)</f>
        <v>1399.68</v>
      </c>
      <c r="E2" s="5">
        <f>D2*(1+Assumptions!$B$3)</f>
        <v>1511.6544000000001</v>
      </c>
      <c r="F2" s="5">
        <f>E2*(1+Assumptions!$B$3)</f>
        <v>1632.5867520000002</v>
      </c>
      <c r="G2" s="5">
        <f>F2*(1+Assumptions!$B$3)</f>
        <v>1763.1936921600002</v>
      </c>
      <c r="H2" s="5">
        <f>G2*(1+Assumptions!$B$3)</f>
        <v>1904.2491875328003</v>
      </c>
      <c r="I2" s="5">
        <f>H2*(1+Assumptions!$B$3)</f>
        <v>2056.5891225354244</v>
      </c>
      <c r="J2" s="5">
        <f>I2*(1+Assumptions!$B$3)</f>
        <v>2221.1162523382586</v>
      </c>
      <c r="K2" s="5">
        <f>J2*(1+Assumptions!$B$3)</f>
        <v>2398.8055525253194</v>
      </c>
      <c r="L2" s="5">
        <f>K2*(1+Assumptions!$B$3)</f>
        <v>2590.7099967273452</v>
      </c>
      <c r="M2" s="5">
        <f>L2*(1+Assumptions!$B$3)</f>
        <v>2797.966796465533</v>
      </c>
    </row>
    <row r="3" spans="1:13">
      <c r="A3" t="s">
        <v>28</v>
      </c>
      <c r="B3" s="5">
        <v>960</v>
      </c>
      <c r="C3" s="5">
        <f>B3*(1+Assumptions!$B$3)</f>
        <v>1036.8000000000002</v>
      </c>
      <c r="D3" s="5">
        <f>C3*(1+Assumptions!$B$3)</f>
        <v>1119.7440000000004</v>
      </c>
      <c r="E3" s="5">
        <f>D3*(1+Assumptions!$B$3)</f>
        <v>1209.3235200000004</v>
      </c>
      <c r="F3" s="5">
        <f>E3*(1+Assumptions!$B$3)</f>
        <v>1306.0694016000004</v>
      </c>
      <c r="G3" s="5">
        <f>F3*(1+Assumptions!$B$3)</f>
        <v>1410.5549537280006</v>
      </c>
      <c r="H3" s="5">
        <f>G3*(1+Assumptions!$B$3)</f>
        <v>1523.3993500262407</v>
      </c>
      <c r="I3" s="5">
        <f>H3*(1+Assumptions!$B$3)</f>
        <v>1645.27129802834</v>
      </c>
      <c r="J3" s="5">
        <f>I3*(1+Assumptions!$B$3)</f>
        <v>1776.8930018706073</v>
      </c>
      <c r="K3" s="5">
        <f>J3*(1+Assumptions!$B$3)</f>
        <v>1919.0444420202562</v>
      </c>
      <c r="L3" s="5">
        <f>K3*(1+Assumptions!$B$3)</f>
        <v>2072.567997381877</v>
      </c>
      <c r="M3" s="5">
        <f>L3*(1+Assumptions!$B$3)</f>
        <v>2238.373437172427</v>
      </c>
    </row>
    <row r="4" spans="1:13">
      <c r="A4" t="s">
        <v>29</v>
      </c>
      <c r="B4" s="5">
        <v>800</v>
      </c>
      <c r="C4" s="5">
        <f>B4*(1+Assumptions!$B$3)</f>
        <v>864</v>
      </c>
      <c r="D4" s="5">
        <f>C4*(1+Assumptions!$B$3)</f>
        <v>933.1200000000001</v>
      </c>
      <c r="E4" s="5">
        <f>D4*(1+Assumptions!$B$3)</f>
        <v>1007.7696000000002</v>
      </c>
      <c r="F4" s="5">
        <f>E4*(1+Assumptions!$B$3)</f>
        <v>1088.3911680000003</v>
      </c>
      <c r="G4" s="5">
        <f>F4*(1+Assumptions!$B$3)</f>
        <v>1175.4624614400004</v>
      </c>
      <c r="H4" s="5">
        <f>G4*(1+Assumptions!$B$3)</f>
        <v>1269.4994583552004</v>
      </c>
      <c r="I4" s="5">
        <f>H4*(1+Assumptions!$B$3)</f>
        <v>1371.0594150236166</v>
      </c>
      <c r="J4" s="5">
        <f>I4*(1+Assumptions!$B$3)</f>
        <v>1480.744168225506</v>
      </c>
      <c r="K4" s="5">
        <f>J4*(1+Assumptions!$B$3)</f>
        <v>1599.2037016835466</v>
      </c>
      <c r="L4" s="5">
        <f>K4*(1+Assumptions!$B$3)</f>
        <v>1727.1399978182303</v>
      </c>
      <c r="M4" s="5">
        <f>L4*(1+Assumptions!$B$3)</f>
        <v>1865.311197643689</v>
      </c>
    </row>
    <row r="5" spans="1:13">
      <c r="A5" t="s">
        <v>30</v>
      </c>
      <c r="B5" s="5">
        <v>400</v>
      </c>
      <c r="C5" s="5">
        <f>B5*(1+Assumptions!$B$3)</f>
        <v>432</v>
      </c>
      <c r="D5" s="5">
        <f>C5*(1+Assumptions!$B$3)</f>
        <v>466.56000000000006</v>
      </c>
      <c r="E5" s="5">
        <f>D5*(1+Assumptions!$B$3)</f>
        <v>503.8848000000001</v>
      </c>
      <c r="F5" s="5">
        <f>E5*(1+Assumptions!$B$3)</f>
        <v>544.1955840000002</v>
      </c>
      <c r="G5" s="5">
        <f>F5*(1+Assumptions!$B$3)</f>
        <v>587.7312307200002</v>
      </c>
      <c r="H5" s="5">
        <f>G5*(1+Assumptions!$B$3)</f>
        <v>634.7497291776002</v>
      </c>
      <c r="I5" s="5">
        <f>H5*(1+Assumptions!$B$3)</f>
        <v>685.5297075118083</v>
      </c>
      <c r="J5" s="5">
        <f>I5*(1+Assumptions!$B$3)</f>
        <v>740.372084112753</v>
      </c>
      <c r="K5" s="5">
        <f>J5*(1+Assumptions!$B$3)</f>
        <v>799.6018508417733</v>
      </c>
      <c r="L5" s="5">
        <f>K5*(1+Assumptions!$B$3)</f>
        <v>863.5699989091152</v>
      </c>
      <c r="M5" s="5">
        <f>L5*(1+Assumptions!$B$3)</f>
        <v>932.6555988218445</v>
      </c>
    </row>
    <row r="6" spans="1:13">
      <c r="A6" t="s">
        <v>31</v>
      </c>
      <c r="B6" s="5">
        <v>320</v>
      </c>
      <c r="C6" s="5">
        <f>B6*(1+Assumptions!$B$3)</f>
        <v>345.6</v>
      </c>
      <c r="D6" s="5">
        <f>C6*(1+Assumptions!$B$3)</f>
        <v>373.24800000000005</v>
      </c>
      <c r="E6" s="5">
        <f>D6*(1+Assumptions!$B$3)</f>
        <v>403.10784000000007</v>
      </c>
      <c r="F6" s="5">
        <f>E6*(1+Assumptions!$B$3)</f>
        <v>435.3564672000001</v>
      </c>
      <c r="G6" s="5">
        <f>F6*(1+Assumptions!$B$3)</f>
        <v>470.18498457600015</v>
      </c>
      <c r="H6" s="5">
        <f>G6*(1+Assumptions!$B$3)</f>
        <v>507.7997833420802</v>
      </c>
      <c r="I6" s="5">
        <f>H6*(1+Assumptions!$B$3)</f>
        <v>548.4237660094467</v>
      </c>
      <c r="J6" s="5">
        <f>I6*(1+Assumptions!$B$3)</f>
        <v>592.2976672902025</v>
      </c>
      <c r="K6" s="5">
        <f>J6*(1+Assumptions!$B$3)</f>
        <v>639.6814806734187</v>
      </c>
      <c r="L6" s="5">
        <f>K6*(1+Assumptions!$B$3)</f>
        <v>690.8559991272923</v>
      </c>
      <c r="M6" s="5">
        <f>L6*(1+Assumptions!$B$3)</f>
        <v>746.1244790574757</v>
      </c>
    </row>
    <row r="7" spans="1:13">
      <c r="A7" t="s">
        <v>32</v>
      </c>
      <c r="B7" s="5">
        <v>560</v>
      </c>
      <c r="C7" s="5">
        <f>B7*(1+Assumptions!$B$3)</f>
        <v>604.8000000000001</v>
      </c>
      <c r="D7" s="5">
        <f>C7*(1+Assumptions!$B$3)</f>
        <v>653.1840000000001</v>
      </c>
      <c r="E7" s="5">
        <f>D7*(1+Assumptions!$B$3)</f>
        <v>705.4387200000001</v>
      </c>
      <c r="F7" s="5">
        <f>E7*(1+Assumptions!$B$3)</f>
        <v>761.8738176000002</v>
      </c>
      <c r="G7" s="5">
        <f>F7*(1+Assumptions!$B$3)</f>
        <v>822.8237230080002</v>
      </c>
      <c r="H7" s="5">
        <f>G7*(1+Assumptions!$B$3)</f>
        <v>888.6496208486403</v>
      </c>
      <c r="I7" s="5">
        <f>H7*(1+Assumptions!$B$3)</f>
        <v>959.7415905165316</v>
      </c>
      <c r="J7" s="5">
        <f>I7*(1+Assumptions!$B$3)</f>
        <v>1036.5209177578542</v>
      </c>
      <c r="K7" s="5">
        <f>J7*(1+Assumptions!$B$3)</f>
        <v>1119.4425911784826</v>
      </c>
      <c r="L7" s="5">
        <f>K7*(1+Assumptions!$B$3)</f>
        <v>1208.9979984727613</v>
      </c>
      <c r="M7" s="5">
        <f>L7*(1+Assumptions!$B$3)</f>
        <v>1305.7178383505823</v>
      </c>
    </row>
    <row r="8" spans="1:13">
      <c r="A8" t="s">
        <v>33</v>
      </c>
      <c r="B8" s="5">
        <v>640</v>
      </c>
      <c r="C8" s="5">
        <f>B8*(1+Assumptions!$B$3)</f>
        <v>691.2</v>
      </c>
      <c r="D8" s="5">
        <f>C8*(1+Assumptions!$B$3)</f>
        <v>746.4960000000001</v>
      </c>
      <c r="E8" s="5">
        <f>D8*(1+Assumptions!$B$3)</f>
        <v>806.2156800000001</v>
      </c>
      <c r="F8" s="5">
        <f>E8*(1+Assumptions!$B$3)</f>
        <v>870.7129344000002</v>
      </c>
      <c r="G8" s="5">
        <f>F8*(1+Assumptions!$B$3)</f>
        <v>940.3699691520003</v>
      </c>
      <c r="H8" s="5">
        <f>G8*(1+Assumptions!$B$3)</f>
        <v>1015.5995666841604</v>
      </c>
      <c r="I8" s="5">
        <f>H8*(1+Assumptions!$B$3)</f>
        <v>1096.8475320188934</v>
      </c>
      <c r="J8" s="5">
        <f>I8*(1+Assumptions!$B$3)</f>
        <v>1184.595334580405</v>
      </c>
      <c r="K8" s="5">
        <f>J8*(1+Assumptions!$B$3)</f>
        <v>1279.3629613468374</v>
      </c>
      <c r="L8" s="5">
        <f>K8*(1+Assumptions!$B$3)</f>
        <v>1381.7119982545846</v>
      </c>
      <c r="M8" s="5">
        <f>L8*(1+Assumptions!$B$3)</f>
        <v>1492.2489581149514</v>
      </c>
    </row>
    <row r="9" spans="1:13">
      <c r="A9" t="s">
        <v>34</v>
      </c>
      <c r="B9" s="5">
        <v>280</v>
      </c>
      <c r="C9" s="5">
        <f>B9*(1+Assumptions!$B$3)</f>
        <v>302.40000000000003</v>
      </c>
      <c r="D9" s="5">
        <f>C9*(1+Assumptions!$B$3)</f>
        <v>326.59200000000004</v>
      </c>
      <c r="E9" s="5">
        <f>D9*(1+Assumptions!$B$3)</f>
        <v>352.71936000000005</v>
      </c>
      <c r="F9" s="5">
        <f>E9*(1+Assumptions!$B$3)</f>
        <v>380.9369088000001</v>
      </c>
      <c r="G9" s="5">
        <f>F9*(1+Assumptions!$B$3)</f>
        <v>411.4118615040001</v>
      </c>
      <c r="H9" s="5">
        <f>G9*(1+Assumptions!$B$3)</f>
        <v>444.32481042432016</v>
      </c>
      <c r="I9" s="5">
        <f>H9*(1+Assumptions!$B$3)</f>
        <v>479.8707952582658</v>
      </c>
      <c r="J9" s="5">
        <f>I9*(1+Assumptions!$B$3)</f>
        <v>518.2604588789271</v>
      </c>
      <c r="K9" s="5">
        <f>J9*(1+Assumptions!$B$3)</f>
        <v>559.7212955892413</v>
      </c>
      <c r="L9" s="5">
        <f>K9*(1+Assumptions!$B$3)</f>
        <v>604.4989992363807</v>
      </c>
      <c r="M9" s="5">
        <f>L9*(1+Assumptions!$B$3)</f>
        <v>652.8589191752911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48235"/>
  </sheetPr>
  <dimension ref="A1:M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4.7109375" customWidth="1"/>
  </cols>
  <sheetData>
    <row r="1" spans="1: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>
      <c r="A2" t="s">
        <v>27</v>
      </c>
      <c r="B2" s="3">
        <f>Regions!$B$2*Assumptions!$B$2</f>
        <v>58800</v>
      </c>
      <c r="C2" s="3">
        <f>Regions!$C$2*Assumptions!$B$2</f>
        <v>63504</v>
      </c>
      <c r="D2" s="3">
        <f>Regions!$D$2*Assumptions!$B$2</f>
        <v>68584.32</v>
      </c>
      <c r="E2" s="3">
        <f>Regions!$E$2*Assumptions!$B$2</f>
        <v>74071.0656</v>
      </c>
      <c r="F2" s="3">
        <f>Regions!$F$2*Assumptions!$B$2</f>
        <v>79996.75084800001</v>
      </c>
      <c r="G2" s="3">
        <f>Regions!$G$2*Assumptions!$B$2</f>
        <v>86396.49091584001</v>
      </c>
      <c r="H2" s="3">
        <f>Regions!$H$2*Assumptions!$B$2</f>
        <v>93308.21018910721</v>
      </c>
      <c r="I2" s="3">
        <f>Regions!$I$2*Assumptions!$B$2</f>
        <v>100772.8670042358</v>
      </c>
      <c r="J2" s="3">
        <f>Regions!$J$2*Assumptions!$B$2</f>
        <v>108834.69636457467</v>
      </c>
      <c r="K2" s="3">
        <f>Regions!$K$2*Assumptions!$B$2</f>
        <v>117541.47207374065</v>
      </c>
      <c r="L2" s="3">
        <f>Regions!$L$2*Assumptions!$B$2</f>
        <v>126944.78983963991</v>
      </c>
      <c r="M2" s="3">
        <f>Regions!$M$2*Assumptions!$B$2</f>
        <v>137100.37302681114</v>
      </c>
    </row>
    <row r="3" spans="1:13">
      <c r="A3" t="s">
        <v>28</v>
      </c>
      <c r="B3" s="3">
        <f>Regions!$B$3*Assumptions!$B$2</f>
        <v>47040</v>
      </c>
      <c r="C3" s="3">
        <f>Regions!$C$3*Assumptions!$B$2</f>
        <v>50803.20000000001</v>
      </c>
      <c r="D3" s="3">
        <f>Regions!$D$3*Assumptions!$B$2</f>
        <v>54867.45600000002</v>
      </c>
      <c r="E3" s="3">
        <f>Regions!$E$3*Assumptions!$B$2</f>
        <v>59256.852480000016</v>
      </c>
      <c r="F3" s="3">
        <f>Regions!$F$3*Assumptions!$B$2</f>
        <v>63997.40067840002</v>
      </c>
      <c r="G3" s="3">
        <f>Regions!$G$3*Assumptions!$B$2</f>
        <v>69117.19273267203</v>
      </c>
      <c r="H3" s="3">
        <f>Regions!$H$3*Assumptions!$B$2</f>
        <v>74646.5681512858</v>
      </c>
      <c r="I3" s="3">
        <f>Regions!$I$3*Assumptions!$B$2</f>
        <v>80618.29360338867</v>
      </c>
      <c r="J3" s="3">
        <f>Regions!$J$3*Assumptions!$B$2</f>
        <v>87067.75709165976</v>
      </c>
      <c r="K3" s="3">
        <f>Regions!$K$3*Assumptions!$B$2</f>
        <v>94033.17765899256</v>
      </c>
      <c r="L3" s="3">
        <f>Regions!$L$3*Assumptions!$B$2</f>
        <v>101555.83187171197</v>
      </c>
      <c r="M3" s="3">
        <f>Regions!$M$3*Assumptions!$B$2</f>
        <v>109680.29842144893</v>
      </c>
    </row>
    <row r="4" spans="1:13">
      <c r="A4" t="s">
        <v>29</v>
      </c>
      <c r="B4" s="3">
        <f>Regions!$B$4*Assumptions!$B$2</f>
        <v>39200</v>
      </c>
      <c r="C4" s="3">
        <f>Regions!$C$4*Assumptions!$B$2</f>
        <v>42336</v>
      </c>
      <c r="D4" s="3">
        <f>Regions!$D$4*Assumptions!$B$2</f>
        <v>45722.880000000005</v>
      </c>
      <c r="E4" s="3">
        <f>Regions!$E$4*Assumptions!$B$2</f>
        <v>49380.71040000001</v>
      </c>
      <c r="F4" s="3">
        <f>Regions!$F$4*Assumptions!$B$2</f>
        <v>53331.167232000014</v>
      </c>
      <c r="G4" s="3">
        <f>Regions!$G$4*Assumptions!$B$2</f>
        <v>57597.66061056002</v>
      </c>
      <c r="H4" s="3">
        <f>Regions!$H$4*Assumptions!$B$2</f>
        <v>62205.47345940482</v>
      </c>
      <c r="I4" s="3">
        <f>Regions!$I$4*Assumptions!$B$2</f>
        <v>67181.91133615721</v>
      </c>
      <c r="J4" s="3">
        <f>Regions!$J$4*Assumptions!$B$2</f>
        <v>72556.46424304979</v>
      </c>
      <c r="K4" s="3">
        <f>Regions!$K$4*Assumptions!$B$2</f>
        <v>78360.98138249379</v>
      </c>
      <c r="L4" s="3">
        <f>Regions!$L$4*Assumptions!$B$2</f>
        <v>84629.85989309328</v>
      </c>
      <c r="M4" s="3">
        <f>Regions!$M$4*Assumptions!$B$2</f>
        <v>91400.24868454075</v>
      </c>
    </row>
    <row r="5" spans="1:13">
      <c r="A5" t="s">
        <v>30</v>
      </c>
      <c r="B5" s="3">
        <f>Regions!$B$5*Assumptions!$B$2</f>
        <v>19600</v>
      </c>
      <c r="C5" s="3">
        <f>Regions!$C$5*Assumptions!$B$2</f>
        <v>21168</v>
      </c>
      <c r="D5" s="3">
        <f>Regions!$D$5*Assumptions!$B$2</f>
        <v>22861.440000000002</v>
      </c>
      <c r="E5" s="3">
        <f>Regions!$E$5*Assumptions!$B$2</f>
        <v>24690.355200000005</v>
      </c>
      <c r="F5" s="3">
        <f>Regions!$F$5*Assumptions!$B$2</f>
        <v>26665.583616000007</v>
      </c>
      <c r="G5" s="3">
        <f>Regions!$G$5*Assumptions!$B$2</f>
        <v>28798.83030528001</v>
      </c>
      <c r="H5" s="3">
        <f>Regions!$H$5*Assumptions!$B$2</f>
        <v>31102.73672970241</v>
      </c>
      <c r="I5" s="3">
        <f>Regions!$I$5*Assumptions!$B$2</f>
        <v>33590.955668078605</v>
      </c>
      <c r="J5" s="3">
        <f>Regions!$J$5*Assumptions!$B$2</f>
        <v>36278.232121524896</v>
      </c>
      <c r="K5" s="3">
        <f>Regions!$K$5*Assumptions!$B$2</f>
        <v>39180.490691246894</v>
      </c>
      <c r="L5" s="3">
        <f>Regions!$L$5*Assumptions!$B$2</f>
        <v>42314.92994654664</v>
      </c>
      <c r="M5" s="3">
        <f>Regions!$M$5*Assumptions!$B$2</f>
        <v>45700.12434227038</v>
      </c>
    </row>
    <row r="6" spans="1:13">
      <c r="A6" t="s">
        <v>31</v>
      </c>
      <c r="B6" s="3">
        <f>Regions!$B$6*Assumptions!$B$2</f>
        <v>15680</v>
      </c>
      <c r="C6" s="3">
        <f>Regions!$C$6*Assumptions!$B$2</f>
        <v>16934.4</v>
      </c>
      <c r="D6" s="3">
        <f>Regions!$D$6*Assumptions!$B$2</f>
        <v>18289.152000000002</v>
      </c>
      <c r="E6" s="3">
        <f>Regions!$E$6*Assumptions!$B$2</f>
        <v>19752.284160000003</v>
      </c>
      <c r="F6" s="3">
        <f>Regions!$F$6*Assumptions!$B$2</f>
        <v>21332.466892800006</v>
      </c>
      <c r="G6" s="3">
        <f>Regions!$G$6*Assumptions!$B$2</f>
        <v>23039.064244224006</v>
      </c>
      <c r="H6" s="3">
        <f>Regions!$H$6*Assumptions!$B$2</f>
        <v>24882.189383761932</v>
      </c>
      <c r="I6" s="3">
        <f>Regions!$I$6*Assumptions!$B$2</f>
        <v>26872.764534462887</v>
      </c>
      <c r="J6" s="3">
        <f>Regions!$J$6*Assumptions!$B$2</f>
        <v>29022.585697219925</v>
      </c>
      <c r="K6" s="3">
        <f>Regions!$K$6*Assumptions!$B$2</f>
        <v>31344.392552997517</v>
      </c>
      <c r="L6" s="3">
        <f>Regions!$L$6*Assumptions!$B$2</f>
        <v>33851.94395723732</v>
      </c>
      <c r="M6" s="3">
        <f>Regions!$M$6*Assumptions!$B$2</f>
        <v>36560.099473816306</v>
      </c>
    </row>
    <row r="7" spans="1:13">
      <c r="A7" t="s">
        <v>32</v>
      </c>
      <c r="B7" s="3">
        <f>Regions!$B$7*Assumptions!$B$2</f>
        <v>27440</v>
      </c>
      <c r="C7" s="3">
        <f>Regions!$C$7*Assumptions!$B$2</f>
        <v>29635.200000000004</v>
      </c>
      <c r="D7" s="3">
        <f>Regions!$D$7*Assumptions!$B$2</f>
        <v>32006.016000000003</v>
      </c>
      <c r="E7" s="3">
        <f>Regions!$E$7*Assumptions!$B$2</f>
        <v>34566.49728</v>
      </c>
      <c r="F7" s="3">
        <f>Regions!$F$7*Assumptions!$B$2</f>
        <v>37331.817062400005</v>
      </c>
      <c r="G7" s="3">
        <f>Regions!$G$7*Assumptions!$B$2</f>
        <v>40318.362427392014</v>
      </c>
      <c r="H7" s="3">
        <f>Regions!$H$7*Assumptions!$B$2</f>
        <v>43543.831421583374</v>
      </c>
      <c r="I7" s="3">
        <f>Regions!$I$7*Assumptions!$B$2</f>
        <v>47027.337935310046</v>
      </c>
      <c r="J7" s="3">
        <f>Regions!$J$7*Assumptions!$B$2</f>
        <v>50789.52497013486</v>
      </c>
      <c r="K7" s="3">
        <f>Regions!$K$7*Assumptions!$B$2</f>
        <v>54852.68696774565</v>
      </c>
      <c r="L7" s="3">
        <f>Regions!$L$7*Assumptions!$B$2</f>
        <v>59240.9019251653</v>
      </c>
      <c r="M7" s="3">
        <f>Regions!$M$7*Assumptions!$B$2</f>
        <v>63980.174079178534</v>
      </c>
    </row>
    <row r="8" spans="1:13">
      <c r="A8" t="s">
        <v>33</v>
      </c>
      <c r="B8" s="3">
        <f>Regions!$B$8*Assumptions!$B$2</f>
        <v>31360</v>
      </c>
      <c r="C8" s="3">
        <f>Regions!$C$8*Assumptions!$B$2</f>
        <v>33868.8</v>
      </c>
      <c r="D8" s="3">
        <f>Regions!$D$8*Assumptions!$B$2</f>
        <v>36578.304000000004</v>
      </c>
      <c r="E8" s="3">
        <f>Regions!$E$8*Assumptions!$B$2</f>
        <v>39504.568320000006</v>
      </c>
      <c r="F8" s="3">
        <f>Regions!$F$8*Assumptions!$B$2</f>
        <v>42664.93378560001</v>
      </c>
      <c r="G8" s="3">
        <f>Regions!$G$8*Assumptions!$B$2</f>
        <v>46078.12848844801</v>
      </c>
      <c r="H8" s="3">
        <f>Regions!$H$8*Assumptions!$B$2</f>
        <v>49764.378767523864</v>
      </c>
      <c r="I8" s="3">
        <f>Regions!$I$8*Assumptions!$B$2</f>
        <v>53745.529068925774</v>
      </c>
      <c r="J8" s="3">
        <f>Regions!$J$8*Assumptions!$B$2</f>
        <v>58045.17139443985</v>
      </c>
      <c r="K8" s="3">
        <f>Regions!$K$8*Assumptions!$B$2</f>
        <v>62688.78510599503</v>
      </c>
      <c r="L8" s="3">
        <f>Regions!$L$8*Assumptions!$B$2</f>
        <v>67703.88791447465</v>
      </c>
      <c r="M8" s="3">
        <f>Regions!$M$8*Assumptions!$B$2</f>
        <v>73120.19894763261</v>
      </c>
    </row>
    <row r="9" spans="1:13">
      <c r="A9" t="s">
        <v>34</v>
      </c>
      <c r="B9" s="3">
        <f>Regions!$B$9*Assumptions!$B$2</f>
        <v>13720</v>
      </c>
      <c r="C9" s="3">
        <f>Regions!$C$9*Assumptions!$B$2</f>
        <v>14817.600000000002</v>
      </c>
      <c r="D9" s="3">
        <f>Regions!$D$9*Assumptions!$B$2</f>
        <v>16003.008000000002</v>
      </c>
      <c r="E9" s="3">
        <f>Regions!$E$9*Assumptions!$B$2</f>
        <v>17283.24864</v>
      </c>
      <c r="F9" s="3">
        <f>Regions!$F$9*Assumptions!$B$2</f>
        <v>18665.908531200002</v>
      </c>
      <c r="G9" s="3">
        <f>Regions!$G$9*Assumptions!$B$2</f>
        <v>20159.181213696007</v>
      </c>
      <c r="H9" s="3">
        <f>Regions!$H$9*Assumptions!$B$2</f>
        <v>21771.915710791687</v>
      </c>
      <c r="I9" s="3">
        <f>Regions!$I$9*Assumptions!$B$2</f>
        <v>23513.668967655023</v>
      </c>
      <c r="J9" s="3">
        <f>Regions!$J$9*Assumptions!$B$2</f>
        <v>25394.76248506743</v>
      </c>
      <c r="K9" s="3">
        <f>Regions!$K$9*Assumptions!$B$2</f>
        <v>27426.343483872824</v>
      </c>
      <c r="L9" s="3">
        <f>Regions!$L$9*Assumptions!$B$2</f>
        <v>29620.45096258265</v>
      </c>
      <c r="M9" s="3">
        <f>Regions!$M$9*Assumptions!$B$2</f>
        <v>31990.087039589267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65911"/>
  </sheetPr>
  <dimension ref="A1:N8"/>
  <sheetViews>
    <sheetView workbookViewId="0"/>
  </sheetViews>
  <sheetFormatPr defaultRowHeight="15"/>
  <cols>
    <col min="1" max="1" width="16.7109375" customWidth="1"/>
    <col min="2" max="13" width="14.7109375" customWidth="1"/>
    <col min="14" max="14" width="16.7109375" customWidth="1"/>
  </cols>
  <sheetData>
    <row r="1" spans="1:14">
      <c r="A1" s="1" t="s">
        <v>35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36</v>
      </c>
    </row>
    <row r="2" spans="1:14">
      <c r="A2" s="6" t="s">
        <v>37</v>
      </c>
      <c r="B2" s="3">
        <f>SUM(Revenue!$B$2:$B$9)</f>
        <v>252840</v>
      </c>
      <c r="C2" s="3">
        <f>SUM(Revenue!$C$2:$C$9)</f>
        <v>273067.2</v>
      </c>
      <c r="D2" s="3">
        <f>SUM(Revenue!$D$2:$D$9)</f>
        <v>294912.576</v>
      </c>
      <c r="E2" s="3">
        <f>SUM(Revenue!$E$2:$E$9)</f>
        <v>318505.5820800001</v>
      </c>
      <c r="F2" s="3">
        <f>SUM(Revenue!$F$2:$F$9)</f>
        <v>343986.0286464001</v>
      </c>
      <c r="G2" s="3">
        <f>SUM(Revenue!$G$2:$G$9)</f>
        <v>371504.9109381122</v>
      </c>
      <c r="H2" s="3">
        <f>SUM(Revenue!$H$2:$H$9)</f>
        <v>401225.3038131611</v>
      </c>
      <c r="I2" s="3">
        <f>SUM(Revenue!$I$2:$I$9)</f>
        <v>433323.328118214</v>
      </c>
      <c r="J2" s="3">
        <f>SUM(Revenue!$J$2:$J$9)</f>
        <v>467989.1943676712</v>
      </c>
      <c r="K2" s="3">
        <f>SUM(Revenue!$K$2:$K$9)</f>
        <v>505428.3299170849</v>
      </c>
      <c r="L2" s="3">
        <f>SUM(Revenue!$L$2:$L$9)</f>
        <v>545862.5963104517</v>
      </c>
      <c r="M2" s="3">
        <f>SUM(Revenue!$M$2:$M$9)</f>
        <v>589531.604015288</v>
      </c>
      <c r="N2" s="7">
        <f>SUM($B$2:$M$2)</f>
        <v>4798176.654206383</v>
      </c>
    </row>
    <row r="3" spans="1:14">
      <c r="A3" s="2" t="s">
        <v>38</v>
      </c>
      <c r="B3" s="3">
        <f>$B$2*Assumptions!$B$5</f>
        <v>55624.8</v>
      </c>
      <c r="C3" s="3">
        <f>$C$2*Assumptions!$B$5</f>
        <v>60074.784</v>
      </c>
      <c r="D3" s="3">
        <f>$D$2*Assumptions!$B$5</f>
        <v>64880.76672</v>
      </c>
      <c r="E3" s="3">
        <f>$E$2*Assumptions!$B$5</f>
        <v>70071.22805760002</v>
      </c>
      <c r="F3" s="3">
        <f>$F$2*Assumptions!$B$5</f>
        <v>75676.92630220801</v>
      </c>
      <c r="G3" s="3">
        <f>$G$2*Assumptions!$B$5</f>
        <v>81731.08040638467</v>
      </c>
      <c r="H3" s="3">
        <f>$H$2*Assumptions!$B$5</f>
        <v>88269.56683889544</v>
      </c>
      <c r="I3" s="3">
        <f>$I$2*Assumptions!$B$5</f>
        <v>95331.13218600707</v>
      </c>
      <c r="J3" s="3">
        <f>$J$2*Assumptions!$B$5</f>
        <v>102957.62276088767</v>
      </c>
      <c r="K3" s="3">
        <f>$K$2*Assumptions!$B$5</f>
        <v>111194.23258175868</v>
      </c>
      <c r="L3" s="3">
        <f>$L$2*Assumptions!$B$5</f>
        <v>120089.77118829939</v>
      </c>
      <c r="M3" s="3">
        <f>$M$2*Assumptions!$B$5</f>
        <v>129696.95288336335</v>
      </c>
      <c r="N3" s="3">
        <f>SUM($B$3:$M$3)</f>
        <v>1055598.8639254044</v>
      </c>
    </row>
    <row r="4" spans="1:14">
      <c r="A4" s="6" t="s">
        <v>39</v>
      </c>
      <c r="B4" s="3">
        <f>$B$2-$B$3</f>
        <v>197215.2</v>
      </c>
      <c r="C4" s="3">
        <f>$C$2-$C$3</f>
        <v>212992.41600000003</v>
      </c>
      <c r="D4" s="3">
        <f>$D$2-$D$3</f>
        <v>230031.80928</v>
      </c>
      <c r="E4" s="3">
        <f>$E$2-$E$3</f>
        <v>248434.35402240005</v>
      </c>
      <c r="F4" s="3">
        <f>$F$2-$F$3</f>
        <v>268309.1023441921</v>
      </c>
      <c r="G4" s="3">
        <f>$G$2-$G$3</f>
        <v>289773.8305317275</v>
      </c>
      <c r="H4" s="3">
        <f>$H$2-$H$3</f>
        <v>312955.73697426566</v>
      </c>
      <c r="I4" s="3">
        <f>$I$2-$I$3</f>
        <v>337992.19593220693</v>
      </c>
      <c r="J4" s="3">
        <f>$J$2-$J$3</f>
        <v>365031.57160678355</v>
      </c>
      <c r="K4" s="3">
        <f>$K$2-$K$3</f>
        <v>394234.0973353262</v>
      </c>
      <c r="L4" s="3">
        <f>$L$2-$L$3</f>
        <v>425772.82512215234</v>
      </c>
      <c r="M4" s="3">
        <f>$M$2-$M$3</f>
        <v>459834.6511319246</v>
      </c>
      <c r="N4" s="7">
        <f>SUM($B$4:$M$4)</f>
        <v>3742577.790280979</v>
      </c>
    </row>
    <row r="5" spans="1:14">
      <c r="A5" s="2" t="s">
        <v>40</v>
      </c>
      <c r="B5" s="3">
        <f>Assumptions!$B$6</f>
        <v>85000</v>
      </c>
      <c r="C5" s="3">
        <f>Assumptions!$B$6</f>
        <v>85000</v>
      </c>
      <c r="D5" s="3">
        <f>Assumptions!$B$6</f>
        <v>85000</v>
      </c>
      <c r="E5" s="3">
        <f>Assumptions!$B$6</f>
        <v>85000</v>
      </c>
      <c r="F5" s="3">
        <f>Assumptions!$B$6</f>
        <v>85000</v>
      </c>
      <c r="G5" s="3">
        <f>Assumptions!$B$6</f>
        <v>85000</v>
      </c>
      <c r="H5" s="3">
        <f>Assumptions!$B$6</f>
        <v>85000</v>
      </c>
      <c r="I5" s="3">
        <f>Assumptions!$B$6</f>
        <v>85000</v>
      </c>
      <c r="J5" s="3">
        <f>Assumptions!$B$6</f>
        <v>85000</v>
      </c>
      <c r="K5" s="3">
        <f>Assumptions!$B$6</f>
        <v>85000</v>
      </c>
      <c r="L5" s="3">
        <f>Assumptions!$B$6</f>
        <v>85000</v>
      </c>
      <c r="M5" s="3">
        <f>Assumptions!$B$6</f>
        <v>85000</v>
      </c>
      <c r="N5" s="3">
        <f>SUM($B$5:$M$5)</f>
        <v>1020000</v>
      </c>
    </row>
    <row r="6" spans="1:14">
      <c r="A6" s="2" t="s">
        <v>41</v>
      </c>
      <c r="B6" s="3">
        <f>$B$4-$B$5</f>
        <v>112215.20000000001</v>
      </c>
      <c r="C6" s="3">
        <f>$C$4-$C$5</f>
        <v>127992.41600000003</v>
      </c>
      <c r="D6" s="3">
        <f>$D$4-$D$5</f>
        <v>145031.80928</v>
      </c>
      <c r="E6" s="3">
        <f>$E$4-$E$5</f>
        <v>163434.35402240005</v>
      </c>
      <c r="F6" s="3">
        <f>$F$4-$F$5</f>
        <v>183309.1023441921</v>
      </c>
      <c r="G6" s="3">
        <f>$G$4-$G$5</f>
        <v>204773.83053172752</v>
      </c>
      <c r="H6" s="3">
        <f>$H$4-$H$5</f>
        <v>227955.73697426566</v>
      </c>
      <c r="I6" s="3">
        <f>$I$4-$I$5</f>
        <v>252992.19593220693</v>
      </c>
      <c r="J6" s="3">
        <f>$J$4-$J$5</f>
        <v>280031.57160678355</v>
      </c>
      <c r="K6" s="3">
        <f>$K$4-$K$5</f>
        <v>309234.0973353262</v>
      </c>
      <c r="L6" s="3">
        <f>$L$4-$L$5</f>
        <v>340772.82512215234</v>
      </c>
      <c r="M6" s="3">
        <f>$M$4-$M$5</f>
        <v>374834.6511319246</v>
      </c>
      <c r="N6" s="3">
        <f>SUM($B$6:$M$6)</f>
        <v>2722577.790280979</v>
      </c>
    </row>
    <row r="7" spans="1:14">
      <c r="A7" s="2" t="s">
        <v>42</v>
      </c>
      <c r="B7" s="3">
        <f>MAX(0,$B$6)*Assumptions!$B$7</f>
        <v>23565.192000000003</v>
      </c>
      <c r="C7" s="3">
        <f>MAX(0,$C$6)*Assumptions!$B$7</f>
        <v>26878.407360000005</v>
      </c>
      <c r="D7" s="3">
        <f>MAX(0,$D$6)*Assumptions!$B$7</f>
        <v>30456.679948799996</v>
      </c>
      <c r="E7" s="3">
        <f>MAX(0,$E$6)*Assumptions!$B$7</f>
        <v>34321.21434470401</v>
      </c>
      <c r="F7" s="3">
        <f>MAX(0,$F$6)*Assumptions!$B$7</f>
        <v>38494.91149228034</v>
      </c>
      <c r="G7" s="3">
        <f>MAX(0,$G$6)*Assumptions!$B$7</f>
        <v>43002.504411662776</v>
      </c>
      <c r="H7" s="3">
        <f>MAX(0,$H$6)*Assumptions!$B$7</f>
        <v>47870.70476459579</v>
      </c>
      <c r="I7" s="3">
        <f>MAX(0,$I$6)*Assumptions!$B$7</f>
        <v>53128.361145763454</v>
      </c>
      <c r="J7" s="3">
        <f>MAX(0,$J$6)*Assumptions!$B$7</f>
        <v>58806.63003742454</v>
      </c>
      <c r="K7" s="3">
        <f>MAX(0,$K$6)*Assumptions!$B$7</f>
        <v>64939.1604404185</v>
      </c>
      <c r="L7" s="3">
        <f>MAX(0,$L$6)*Assumptions!$B$7</f>
        <v>71562.29327565199</v>
      </c>
      <c r="M7" s="3">
        <f>MAX(0,$M$6)*Assumptions!$B$7</f>
        <v>78715.27673770416</v>
      </c>
      <c r="N7" s="3">
        <f>SUM($B$7:$M$7)</f>
        <v>571741.3359590055</v>
      </c>
    </row>
    <row r="8" spans="1:14">
      <c r="A8" s="6" t="s">
        <v>43</v>
      </c>
      <c r="B8" s="7">
        <f>$B$6-$B$7</f>
        <v>88650.008</v>
      </c>
      <c r="C8" s="7">
        <f>$C$6-$C$7</f>
        <v>101114.00864000001</v>
      </c>
      <c r="D8" s="7">
        <f>$D$6-$D$7</f>
        <v>114575.12933119999</v>
      </c>
      <c r="E8" s="7">
        <f>$E$6-$E$7</f>
        <v>129113.13967769605</v>
      </c>
      <c r="F8" s="7">
        <f>$F$6-$F$7</f>
        <v>144814.19085191176</v>
      </c>
      <c r="G8" s="7">
        <f>$G$6-$G$7</f>
        <v>161771.32612006474</v>
      </c>
      <c r="H8" s="7">
        <f>$H$6-$H$7</f>
        <v>180085.03220966988</v>
      </c>
      <c r="I8" s="7">
        <f>$I$6-$I$7</f>
        <v>199863.83478644348</v>
      </c>
      <c r="J8" s="7">
        <f>$J$6-$J$7</f>
        <v>221224.941569359</v>
      </c>
      <c r="K8" s="7">
        <f>$K$6-$K$7</f>
        <v>244294.9368949077</v>
      </c>
      <c r="L8" s="7">
        <f>$L$6-$L$7</f>
        <v>269210.53184650035</v>
      </c>
      <c r="M8" s="7">
        <f>$M$6-$M$7</f>
        <v>296119.3743942204</v>
      </c>
      <c r="N8" s="7">
        <f>SUM($B$8:$M$8)</f>
        <v>2150836.454321973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33C0C"/>
  </sheetPr>
  <dimension ref="A1:M28"/>
  <sheetViews>
    <sheetView workbookViewId="0"/>
  </sheetViews>
  <sheetFormatPr defaultRowHeight="15"/>
  <cols>
    <col min="1" max="2" width="18.7109375" customWidth="1"/>
    <col min="3" max="13" width="14.7109375" customWidth="1"/>
  </cols>
  <sheetData>
    <row r="1" spans="1:2">
      <c r="A1" s="1" t="s">
        <v>44</v>
      </c>
      <c r="B1" s="1" t="s">
        <v>1</v>
      </c>
    </row>
    <row r="2" spans="1:2">
      <c r="A2" s="2" t="s">
        <v>45</v>
      </c>
      <c r="B2" s="7">
        <f>Income!$M$2*12</f>
        <v>7074379.248183455</v>
      </c>
    </row>
    <row r="3" spans="1:2">
      <c r="A3" s="2" t="s">
        <v>46</v>
      </c>
      <c r="B3" s="7">
        <f>Income!$M$2</f>
        <v>589531.604015288</v>
      </c>
    </row>
    <row r="4" spans="1:2">
      <c r="A4" s="2" t="s">
        <v>47</v>
      </c>
      <c r="B4" s="7">
        <f>Income!$N$2</f>
        <v>4798176.654206383</v>
      </c>
    </row>
    <row r="5" spans="1:2">
      <c r="A5" s="2" t="s">
        <v>48</v>
      </c>
      <c r="B5" s="4">
        <f>IF(Income!$N$2=0,0,Income!$N$4/Income!$N$2)</f>
        <v>0.78</v>
      </c>
    </row>
    <row r="6" spans="1:2">
      <c r="A6" s="2" t="s">
        <v>49</v>
      </c>
      <c r="B6" s="7">
        <f>Income!$N$8</f>
        <v>2150836.454321973</v>
      </c>
    </row>
    <row r="7" spans="1:2">
      <c r="A7" s="2" t="s">
        <v>50</v>
      </c>
      <c r="B7" s="7">
        <f>Assumptions!$B$2</f>
        <v>49</v>
      </c>
    </row>
    <row r="25" spans="1:13">
      <c r="A25" s="1" t="s">
        <v>51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26</v>
      </c>
    </row>
    <row r="26" spans="1:13">
      <c r="A26" s="1" t="s">
        <v>37</v>
      </c>
      <c r="B26" s="7">
        <f>Income!$B$2</f>
        <v>252840</v>
      </c>
      <c r="C26" s="7">
        <f>Income!$C$2</f>
        <v>273067.2</v>
      </c>
      <c r="D26" s="7">
        <f>Income!$D$2</f>
        <v>294912.576</v>
      </c>
      <c r="E26" s="7">
        <f>Income!$E$2</f>
        <v>318505.5820800001</v>
      </c>
      <c r="F26" s="7">
        <f>Income!$F$2</f>
        <v>343986.0286464001</v>
      </c>
      <c r="G26" s="7">
        <f>Income!$G$2</f>
        <v>371504.9109381122</v>
      </c>
      <c r="H26" s="7">
        <f>Income!$H$2</f>
        <v>401225.3038131611</v>
      </c>
      <c r="I26" s="7">
        <f>Income!$I$2</f>
        <v>433323.328118214</v>
      </c>
      <c r="J26" s="7">
        <f>Income!$J$2</f>
        <v>467989.1943676712</v>
      </c>
      <c r="K26" s="7">
        <f>Income!$K$2</f>
        <v>505428.3299170849</v>
      </c>
      <c r="L26" s="7">
        <f>Income!$L$2</f>
        <v>545862.5963104517</v>
      </c>
      <c r="M26" s="7">
        <f>Income!$M$2</f>
        <v>589531.604015288</v>
      </c>
    </row>
    <row r="28" spans="1:13">
      <c r="A28" t="s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Regions</vt:lpstr>
      <vt:lpstr>Revenue</vt:lpstr>
      <vt:lpstr>Income</vt:lpstr>
      <vt:lpstr>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2026-07-26T11:58:54Z</dcterms:created>
  <dcterms:modified xsi:type="dcterms:W3CDTF">2026-07-26T11:58:54Z</dcterms:modified>
</cp:coreProperties>
</file>