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Pipeline" sheetId="4" state="visible" r:id="rId4"/>
    <sheet xmlns:r="http://schemas.openxmlformats.org/officeDocument/2006/relationships" name="Headcount" sheetId="5" state="visible" r:id="rId5"/>
  </sheets>
  <definedNames>
    <definedName name="Rate">Inputs!$B$2</definedName>
    <definedName name="_xlnm.Print_Titles" localSheetId="1">'Inputs'!$1:$1</definedName>
    <definedName name="_xlnm._FilterDatabase" localSheetId="2" hidden="1">'Revenue'!$A$1:$B$5</definedName>
    <definedName name="_xlnm.Print_Titles" localSheetId="2">'Revenue'!$1:$1</definedName>
    <definedName name="_xlnm._FilterDatabase" localSheetId="3" hidden="1">'Pipeline'!$A$2:$F$7</definedName>
    <definedName name="_xlnm.Print_Titles" localSheetId="3">'Pipeline'!$1:$2</definedName>
    <definedName name="_xlnm._FilterDatabase" localSheetId="4" hidden="1">'Headcount'!$A$2:$F$8</definedName>
    <definedName name="_xlnm.Print_Titles" localSheetId="4">'Headcount'!$1:$2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%"/>
    <numFmt numFmtId="166" formatCode="$#,##0"/>
    <numFmt numFmtId="167" formatCode="+#,##0;-#,##0;0"/>
  </numFmts>
  <fonts count="11">
    <font>
      <name val="Calibri"/>
      <family val="2"/>
      <color theme="1"/>
      <sz val="11"/>
      <scheme val="minor"/>
    </font>
    <font>
      <name val="Calibri Light"/>
      <color rgb="001F4E79"/>
      <sz val="22"/>
    </font>
    <font>
      <name val="Calibri Light"/>
      <color rgb="00595959"/>
      <sz val="13"/>
    </font>
    <font>
      <name val="Calibri"/>
      <b val="1"/>
      <color rgb="001F4E79"/>
      <sz val="11"/>
    </font>
    <font>
      <name val="Calibri"/>
      <sz val="11"/>
    </font>
    <font>
      <name val="Calibri Light"/>
      <color rgb="001F4E79"/>
      <sz val="14"/>
    </font>
    <font>
      <name val="Calibri"/>
      <b val="1"/>
      <color rgb="00FFFFFF"/>
      <sz val="10"/>
    </font>
    <font>
      <name val="Calibri"/>
      <i val="1"/>
      <color rgb="00595959"/>
      <sz val="9"/>
    </font>
    <font>
      <name val="Calibri"/>
      <color rgb="00595959"/>
      <sz val="9"/>
    </font>
    <font>
      <name val="Calibri"/>
      <b val="1"/>
      <color rgb="00FFFFFF"/>
      <sz val="11"/>
    </font>
    <font>
      <name val="Calibri"/>
      <b val="1"/>
      <color rgb="001F1F1F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bottom style="medium">
        <color rgb="001F4E79"/>
      </bottom>
    </border>
    <border>
      <left style="thin">
        <color rgb="00D6DCE4"/>
      </left>
      <right style="thin">
        <color rgb="00D6DCE4"/>
      </right>
      <top style="thin">
        <color rgb="00D6DCE4"/>
      </top>
      <bottom style="thin">
        <color rgb="00D6DCE4"/>
      </bottom>
    </border>
    <border>
      <left style="thin">
        <color rgb="00BF8F00"/>
      </left>
      <right style="thin">
        <color rgb="00BF8F00"/>
      </right>
      <top style="thin">
        <color rgb="00BF8F00"/>
      </top>
      <bottom style="thin">
        <color rgb="00BF8F00"/>
      </bottom>
    </border>
    <border>
      <bottom style="thin">
        <color rgb="00D6DCE4"/>
      </bottom>
    </border>
    <border>
      <top style="thin">
        <color rgb="001F4E79"/>
      </top>
    </border>
    <border>
      <top style="thin">
        <color rgb="001F4E79"/>
      </top>
      <bottom style="medium">
        <color rgb="001F4E7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9" fontId="10" fillId="3" borderId="3" applyAlignment="1" pivotButton="0" quotePrefix="0" xfId="0">
      <alignment horizontal="right" vertical="center"/>
    </xf>
    <xf numFmtId="164" fontId="10" fillId="3" borderId="3" applyAlignment="1" pivotButton="0" quotePrefix="0" xfId="0">
      <alignment horizontal="right" vertical="center"/>
    </xf>
    <xf numFmtId="0" fontId="4" fillId="0" borderId="4" applyAlignment="1" pivotButton="0" quotePrefix="0" xfId="0">
      <alignment horizontal="left" vertical="center"/>
    </xf>
    <xf numFmtId="165" fontId="4" fillId="0" borderId="4" applyAlignment="1" pivotButton="0" quotePrefix="0" xfId="0">
      <alignment horizontal="right" vertical="center"/>
    </xf>
    <xf numFmtId="166" fontId="4" fillId="0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2" fontId="4" fillId="0" borderId="4" applyAlignment="1" pivotButton="0" quotePrefix="0" xfId="0">
      <alignment horizontal="right" vertical="center"/>
    </xf>
    <xf numFmtId="0" fontId="7" fillId="0" borderId="0" pivotButton="0" quotePrefix="0" xfId="0"/>
    <xf numFmtId="0" fontId="6" fillId="2" borderId="0" applyAlignment="1" pivotButton="0" quotePrefix="0" xfId="0">
      <alignment horizontal="right" vertical="center"/>
    </xf>
    <xf numFmtId="0" fontId="3" fillId="0" borderId="5" applyAlignment="1" pivotButton="0" quotePrefix="0" xfId="0">
      <alignment horizontal="left" vertical="center"/>
    </xf>
    <xf numFmtId="166" fontId="3" fillId="0" borderId="5" applyAlignment="1" pivotButton="0" quotePrefix="0" xfId="0">
      <alignment horizontal="right" vertical="center"/>
    </xf>
    <xf numFmtId="0" fontId="3" fillId="0" borderId="6" applyAlignment="1" pivotButton="0" quotePrefix="0" xfId="0">
      <alignment horizontal="left" vertical="center"/>
    </xf>
    <xf numFmtId="164" fontId="3" fillId="0" borderId="6" applyAlignment="1" pivotButton="0" quotePrefix="0" xfId="0">
      <alignment horizontal="right" vertical="center"/>
    </xf>
    <xf numFmtId="3" fontId="4" fillId="0" borderId="4" applyAlignment="1" pivotButton="0" quotePrefix="0" xfId="0">
      <alignment horizontal="center" vertical="center"/>
    </xf>
    <xf numFmtId="9" fontId="4" fillId="0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left" vertical="center"/>
    </xf>
    <xf numFmtId="3" fontId="3" fillId="0" borderId="6" applyAlignment="1" pivotButton="0" quotePrefix="0" xfId="0">
      <alignment horizontal="center" vertical="center"/>
    </xf>
    <xf numFmtId="166" fontId="3" fillId="0" borderId="6" applyAlignment="1" pivotButton="0" quotePrefix="0" xfId="0">
      <alignment horizontal="right" vertical="center"/>
    </xf>
    <xf numFmtId="0" fontId="0" fillId="0" borderId="6" pivotButton="0" quotePrefix="0" xfId="0"/>
    <xf numFmtId="167" fontId="4" fillId="0" borderId="4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167" fontId="3" fillId="0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/>
            </a:pPr>
            <a:r>
              <a:t>Billed revenue — trailing six months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'Revenue'!B9</c:f>
            </c:strRef>
          </c:tx>
          <c: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c:spPr>
          <c:cat>
            <c:strRef>
              <c:f>'Revenue'!$A$10:$A$15</c:f>
            </c:strRef>
          </c:cat>
          <c:val>
            <c:numRef>
              <c:f>'Revenue'!$B$10:$B$15</c:f>
            </c:numRef>
          </c:val>
        </c:ser>
        <c:gapWidth val="60"/>
        <c:axId val="10"/>
        <c:axId val="100"/>
      </c:barChart>
      <c:catAx>
        <c:axId val="10"/>
        <c:scaling>
          <c:orientation val="minMax"/>
        </c:scaling>
        <c:axPos val="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axPos val="l"/>
        <c:majorGridlines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c:rich>
          </c:tx>
        </c:title>
        <c:numFmt formatCode="$#,##0" sourceLinked="0"/>
        <c:majorTickMark val="none"/>
        <c:minorTickMark val="none"/>
        <c:crossAx val="10"/>
      </c:valAx>
    </c:plotArea>
    <c:plotVisOnly val="1"/>
    <c:dispBlanksAs val="gap"/>
  </c:chart>
</c:chartSpace>
</file>

<file path=xl/comments/comment1.xml><?xml version="1.0" encoding="utf-8"?>
<comments xmlns="http://schemas.openxmlformats.org/spreadsheetml/2006/main">
  <authors>
    <author>Priya Shah</author>
  </authors>
  <commentList>
    <comment ref="B2" authorId="0" shapeId="0">
      <text>
        <t>Board approved the 10% Q3 commission rate on 12 Aug 2026.
This cell is the named range Rate: Revenue!B5 and the board deck KPI both read it. Change the rate here, never in the deck.
— Priya Shah, VP Finance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940000" cy="26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2:D1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58" customWidth="1" min="3" max="3"/>
    <col width="18" customWidth="1" min="4" max="4"/>
    <col width="2.5" customWidth="1" min="5" max="5"/>
  </cols>
  <sheetData>
    <row r="2" ht="30" customHeight="1">
      <c r="B2" s="1" t="inlineStr">
        <is>
          <t>Northstar Analytics</t>
        </is>
      </c>
    </row>
    <row r="3" ht="20" customHeight="1">
      <c r="B3" s="2" t="inlineStr">
        <is>
          <t>FY2026 Q3 Board Pack — financial summary</t>
        </is>
      </c>
    </row>
    <row r="4">
      <c r="B4" s="3" t="n"/>
      <c r="C4" s="3" t="n"/>
      <c r="D4" s="3" t="n"/>
    </row>
    <row r="6">
      <c r="B6" s="4" t="inlineStr">
        <is>
          <t>Prepared by</t>
        </is>
      </c>
      <c r="C6" s="5" t="inlineStr">
        <is>
          <t>Priya Shah, VP Finance</t>
        </is>
      </c>
    </row>
    <row r="7">
      <c r="B7" s="4" t="inlineStr">
        <is>
          <t>Date</t>
        </is>
      </c>
      <c r="C7" s="5" t="inlineStr">
        <is>
          <t>17 August 2026</t>
        </is>
      </c>
    </row>
    <row r="8">
      <c r="B8" s="4" t="inlineStr">
        <is>
          <t>Audience</t>
        </is>
      </c>
      <c r="C8" s="5" t="inlineStr">
        <is>
          <t>Board of Directors · Audit &amp; Comp committee</t>
        </is>
      </c>
    </row>
    <row r="9">
      <c r="B9" s="4" t="inlineStr">
        <is>
          <t>Classification</t>
        </is>
      </c>
      <c r="C9" s="5" t="inlineStr">
        <is>
          <t>CONFIDENTIAL — do not distribute</t>
        </is>
      </c>
    </row>
    <row r="11">
      <c r="B11" s="6" t="inlineStr">
        <is>
          <t>Contents</t>
        </is>
      </c>
    </row>
    <row r="12" ht="20" customHeight="1">
      <c r="B12" s="7" t="inlineStr">
        <is>
          <t>Tab</t>
        </is>
      </c>
      <c r="C12" s="7" t="inlineStr">
        <is>
          <t>What it shows</t>
        </is>
      </c>
      <c r="D12" s="8" t="inlineStr">
        <is>
          <t>Owner</t>
        </is>
      </c>
    </row>
    <row r="13" ht="18" customHeight="1">
      <c r="B13" s="9" t="inlineStr">
        <is>
          <t>Inputs</t>
        </is>
      </c>
      <c r="C13" s="10" t="inlineStr">
        <is>
          <t>Board-approved assumptions; gold cells are editable</t>
        </is>
      </c>
      <c r="D13" s="11" t="inlineStr">
        <is>
          <t>Finance</t>
        </is>
      </c>
    </row>
    <row r="14" ht="18" customHeight="1">
      <c r="B14" s="9" t="inlineStr">
        <is>
          <t>Revenue</t>
        </is>
      </c>
      <c r="C14" s="10" t="inlineStr">
        <is>
          <t>Billed revenue, commission base and trailing billings</t>
        </is>
      </c>
      <c r="D14" s="11" t="inlineStr">
        <is>
          <t>Finance</t>
        </is>
      </c>
    </row>
    <row r="15" ht="18" customHeight="1">
      <c r="B15" s="9" t="inlineStr">
        <is>
          <t>Pipeline</t>
        </is>
      </c>
      <c r="C15" s="10" t="inlineStr">
        <is>
          <t>Q4 pipeline by stage with weighted coverage</t>
        </is>
      </c>
      <c r="D15" s="11" t="inlineStr">
        <is>
          <t>Sales ops</t>
        </is>
      </c>
    </row>
    <row r="16" ht="18" customHeight="1">
      <c r="B16" s="9" t="inlineStr">
        <is>
          <t>Headcount</t>
        </is>
      </c>
      <c r="C16" s="10" t="inlineStr">
        <is>
          <t>Q3 plan vs actual by function</t>
        </is>
      </c>
      <c r="D16" s="11" t="inlineStr">
        <is>
          <t>People ops</t>
        </is>
      </c>
    </row>
    <row r="18">
      <c r="B18" s="12" t="inlineStr">
        <is>
          <t>Gold cells are inputs. Everything else is a formula — overwrite an input, not a calculation.</t>
        </is>
      </c>
    </row>
    <row r="19">
      <c r="B19" s="13" t="inlineStr">
        <is>
          <t>Input</t>
        </is>
      </c>
    </row>
  </sheetData>
  <mergeCells count="1">
    <mergeCell ref="B18:D18"/>
  </mergeCells>
  <pageMargins left="0.5" right="0.5" top="0.75" bottom="0.75" header="0.5" footer="0.5"/>
  <pageSetup orientation="portrait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D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4" customWidth="1" min="3" max="3"/>
    <col width="52" customWidth="1" min="4" max="4"/>
  </cols>
  <sheetData>
    <row r="1" ht="22" customHeight="1">
      <c r="A1" s="14" t="inlineStr">
        <is>
          <t>Assumptions</t>
        </is>
      </c>
      <c r="D1" s="4" t="inlineStr">
        <is>
          <t>Source</t>
        </is>
      </c>
    </row>
    <row r="2" ht="17" customHeight="1">
      <c r="A2" s="15" t="inlineStr">
        <is>
          <t>Rate</t>
        </is>
      </c>
      <c r="B2" s="16" t="n">
        <v>0.1</v>
      </c>
      <c r="D2" s="12" t="inlineStr">
        <is>
          <t>Commission rate — board approved 12 Aug 2026</t>
        </is>
      </c>
    </row>
    <row r="3" ht="17" customHeight="1">
      <c r="A3" s="15" t="inlineStr">
        <is>
          <t>Base</t>
        </is>
      </c>
      <c r="B3" s="17" t="n">
        <v>100</v>
      </c>
      <c r="D3" s="12" t="inlineStr">
        <is>
          <t>Unit commission base (per booked seat)</t>
        </is>
      </c>
    </row>
    <row r="4" ht="17" customHeight="1">
      <c r="A4" s="18" t="inlineStr">
        <is>
          <t>Gross margin</t>
        </is>
      </c>
      <c r="B4" s="19" t="n">
        <v>0.8100000000000001</v>
      </c>
      <c r="D4" s="12" t="inlineStr">
        <is>
          <t>Q3 actual, net of hosting + support</t>
        </is>
      </c>
    </row>
    <row r="5" ht="17" customHeight="1">
      <c r="A5" s="18" t="inlineStr">
        <is>
          <t>Net revenue retention</t>
        </is>
      </c>
      <c r="B5" s="19" t="n">
        <v>1.14</v>
      </c>
      <c r="D5" s="12" t="inlineStr">
        <is>
          <t>Trailing twelve months, &gt; $25k cohort</t>
        </is>
      </c>
    </row>
    <row r="6" ht="17" customHeight="1">
      <c r="A6" s="18" t="inlineStr">
        <is>
          <t>Logo churn (annual)</t>
        </is>
      </c>
      <c r="B6" s="19" t="n">
        <v>0.068</v>
      </c>
      <c r="D6" s="12" t="inlineStr">
        <is>
          <t>SMB weighted; enterprise 2.1%</t>
        </is>
      </c>
    </row>
    <row r="7" ht="17" customHeight="1">
      <c r="A7" s="18" t="inlineStr">
        <is>
          <t>Blended CAC</t>
        </is>
      </c>
      <c r="B7" s="20" t="n">
        <v>18400</v>
      </c>
      <c r="D7" s="12" t="inlineStr">
        <is>
          <t>Sales + marketing / new logos</t>
        </is>
      </c>
    </row>
    <row r="8" ht="17" customHeight="1">
      <c r="A8" s="18" t="inlineStr">
        <is>
          <t>CAC payback (months)</t>
        </is>
      </c>
      <c r="B8" s="21" t="n">
        <v>14</v>
      </c>
      <c r="D8" s="12" t="inlineStr">
        <is>
          <t>Gross-margin adjusted</t>
        </is>
      </c>
    </row>
    <row r="9" ht="17" customHeight="1">
      <c r="A9" s="18" t="inlineStr">
        <is>
          <t>Quota per AE</t>
        </is>
      </c>
      <c r="B9" s="20" t="n">
        <v>780000</v>
      </c>
      <c r="D9" s="12" t="inlineStr">
        <is>
          <t>FY2026 plan, ramped AEs only</t>
        </is>
      </c>
    </row>
    <row r="10" ht="17" customHeight="1">
      <c r="A10" s="18" t="inlineStr">
        <is>
          <t>FX (USD/EUR)</t>
        </is>
      </c>
      <c r="B10" s="22" t="n">
        <v>1.08</v>
      </c>
      <c r="D10" s="12" t="inlineStr">
        <is>
          <t>Treasury rate, locked for the quarter</t>
        </is>
      </c>
    </row>
    <row r="13">
      <c r="A13" s="23" t="inlineStr">
        <is>
          <t>Gold cells are the only editable inputs on this tab.</t>
        </is>
      </c>
    </row>
  </sheetData>
  <mergeCells count="2">
    <mergeCell ref="A13:D13"/>
    <mergeCell ref="A1:B1"/>
  </mergeCells>
  <pageMargins left="0.5" right="0.5" top="0.75" bottom="0.75" header="0.5" footer="0.5"/>
  <pageSetup orientation="portrait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0" customHeight="1">
      <c r="A1" s="7" t="inlineStr">
        <is>
          <t>Label</t>
        </is>
      </c>
      <c r="B1" s="24" t="inlineStr">
        <is>
          <t>Amount</t>
        </is>
      </c>
    </row>
    <row r="2">
      <c r="A2" s="18" t="inlineStr">
        <is>
          <t>Jan</t>
        </is>
      </c>
      <c r="B2" s="20" t="n">
        <v>1183400</v>
      </c>
    </row>
    <row r="3">
      <c r="A3" s="18" t="inlineStr">
        <is>
          <t>Feb</t>
        </is>
      </c>
      <c r="B3" s="20" t="n">
        <v>1276900</v>
      </c>
    </row>
    <row r="4">
      <c r="A4" s="25" t="inlineStr">
        <is>
          <t>Total</t>
        </is>
      </c>
      <c r="B4" s="26">
        <f>B2+B3</f>
        <v/>
      </c>
    </row>
    <row r="5">
      <c r="A5" s="27" t="inlineStr">
        <is>
          <t>Commission</t>
        </is>
      </c>
      <c r="B5" s="28">
        <f>B4*Inputs!B2</f>
        <v/>
      </c>
    </row>
    <row r="6">
      <c r="A6" s="12" t="inlineStr">
        <is>
          <t>Commission = Total billed × Rate (Inputs!B2, named range Rate). Rate is the only cell to touch.</t>
        </is>
      </c>
    </row>
    <row r="8" ht="22" customHeight="1">
      <c r="A8" s="14" t="inlineStr">
        <is>
          <t>Trailing billings — monthly</t>
        </is>
      </c>
    </row>
    <row r="9" ht="20" customHeight="1">
      <c r="A9" s="7" t="inlineStr">
        <is>
          <t>Month</t>
        </is>
      </c>
      <c r="B9" s="24" t="inlineStr">
        <is>
          <t>Billed</t>
        </is>
      </c>
    </row>
    <row r="10">
      <c r="A10" s="18" t="inlineStr">
        <is>
          <t>Mar</t>
        </is>
      </c>
      <c r="B10" s="20" t="n">
        <v>1312500</v>
      </c>
    </row>
    <row r="11">
      <c r="A11" s="18" t="inlineStr">
        <is>
          <t>Apr</t>
        </is>
      </c>
      <c r="B11" s="20" t="n">
        <v>1358900</v>
      </c>
    </row>
    <row r="12">
      <c r="A12" s="18" t="inlineStr">
        <is>
          <t>May</t>
        </is>
      </c>
      <c r="B12" s="20" t="n">
        <v>1401200</v>
      </c>
    </row>
    <row r="13">
      <c r="A13" s="18" t="inlineStr">
        <is>
          <t>Jun</t>
        </is>
      </c>
      <c r="B13" s="20" t="n">
        <v>1466800</v>
      </c>
    </row>
    <row r="14">
      <c r="A14" s="18" t="inlineStr">
        <is>
          <t>Jul</t>
        </is>
      </c>
      <c r="B14" s="20" t="n">
        <v>1524300</v>
      </c>
    </row>
    <row r="15">
      <c r="A15" s="18" t="inlineStr">
        <is>
          <t>Aug</t>
        </is>
      </c>
      <c r="B15" s="20" t="n">
        <v>1583700</v>
      </c>
    </row>
  </sheetData>
  <autoFilter ref="A1:B5"/>
  <mergeCells count="2">
    <mergeCell ref="A8:B8"/>
    <mergeCell ref="A6:B6"/>
  </mergeCells>
  <pageMargins left="0.5" right="0.5" top="0.75" bottom="0.75" header="0.5" footer="0.5"/>
  <pageSetup orientation="portrait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D6DCE4"/>
    <outlinePr summaryBelow="1" summaryRight="1"/>
    <pageSetUpPr fitToPage="1"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2" customWidth="1" min="4" max="4"/>
    <col width="18" customWidth="1" min="5" max="5"/>
    <col width="34" customWidth="1" min="6" max="6"/>
  </cols>
  <sheetData>
    <row r="1" ht="22" customHeight="1">
      <c r="A1" s="14" t="inlineStr">
        <is>
          <t>Q4 pipeline by stage — as at 15 Aug 2026</t>
        </is>
      </c>
    </row>
    <row r="2" ht="20" customHeight="1">
      <c r="A2" s="7" t="inlineStr">
        <is>
          <t>Stage</t>
        </is>
      </c>
      <c r="B2" s="8" t="inlineStr">
        <is>
          <t>Opps</t>
        </is>
      </c>
      <c r="C2" s="24" t="inlineStr">
        <is>
          <t>Value</t>
        </is>
      </c>
      <c r="D2" s="8" t="inlineStr">
        <is>
          <t>Weight</t>
        </is>
      </c>
      <c r="E2" s="24" t="inlineStr">
        <is>
          <t>Weighted</t>
        </is>
      </c>
      <c r="F2" s="7" t="inlineStr">
        <is>
          <t>Commentary</t>
        </is>
      </c>
    </row>
    <row r="3">
      <c r="A3" s="18" t="inlineStr">
        <is>
          <t>1 — Discovery</t>
        </is>
      </c>
      <c r="B3" s="29" t="n">
        <v>84</v>
      </c>
      <c r="C3" s="20" t="n">
        <v>12640000</v>
      </c>
      <c r="D3" s="30" t="n">
        <v>0.1</v>
      </c>
      <c r="E3" s="20">
        <f>C3*D3</f>
        <v/>
      </c>
      <c r="F3" s="31" t="inlineStr">
        <is>
          <t>Top of funnel; MQL mix improving</t>
        </is>
      </c>
    </row>
    <row r="4">
      <c r="A4" s="18" t="inlineStr">
        <is>
          <t>2 — Qualified</t>
        </is>
      </c>
      <c r="B4" s="29" t="n">
        <v>52</v>
      </c>
      <c r="C4" s="20" t="n">
        <v>9180000</v>
      </c>
      <c r="D4" s="30" t="n">
        <v>0.25</v>
      </c>
      <c r="E4" s="20">
        <f>C4*D4</f>
        <v/>
      </c>
      <c r="F4" s="31" t="inlineStr">
        <is>
          <t>SDR handoff SLA now under 24h</t>
        </is>
      </c>
    </row>
    <row r="5">
      <c r="A5" s="18" t="inlineStr">
        <is>
          <t>3 — Business case</t>
        </is>
      </c>
      <c r="B5" s="29" t="n">
        <v>31</v>
      </c>
      <c r="C5" s="20" t="n">
        <v>6420000</v>
      </c>
      <c r="D5" s="30" t="n">
        <v>0.45</v>
      </c>
      <c r="E5" s="20">
        <f>C5*D5</f>
        <v/>
      </c>
      <c r="F5" s="31" t="inlineStr">
        <is>
          <t>Security review is the long pole</t>
        </is>
      </c>
    </row>
    <row r="6">
      <c r="A6" s="18" t="inlineStr">
        <is>
          <t>4 — Negotiation</t>
        </is>
      </c>
      <c r="B6" s="29" t="n">
        <v>18</v>
      </c>
      <c r="C6" s="20" t="n">
        <v>4150000</v>
      </c>
      <c r="D6" s="30" t="n">
        <v>0.7</v>
      </c>
      <c r="E6" s="20">
        <f>C6*D6</f>
        <v/>
      </c>
      <c r="F6" s="31" t="inlineStr">
        <is>
          <t>Three deals pending legal redlines</t>
        </is>
      </c>
    </row>
    <row r="7">
      <c r="A7" s="18" t="inlineStr">
        <is>
          <t>5 — Verbal</t>
        </is>
      </c>
      <c r="B7" s="29" t="n">
        <v>9</v>
      </c>
      <c r="C7" s="20" t="n">
        <v>2260000</v>
      </c>
      <c r="D7" s="30" t="n">
        <v>0.9</v>
      </c>
      <c r="E7" s="20">
        <f>C7*D7</f>
        <v/>
      </c>
      <c r="F7" s="31" t="inlineStr">
        <is>
          <t>Two slipped from Q3 into Q4</t>
        </is>
      </c>
    </row>
    <row r="8">
      <c r="A8" s="27" t="inlineStr">
        <is>
          <t>Total pipeline</t>
        </is>
      </c>
      <c r="B8" s="32">
        <f>SUM(B3:B7)</f>
        <v/>
      </c>
      <c r="C8" s="33">
        <f>SUM(C3:C7)</f>
        <v/>
      </c>
      <c r="D8" s="34" t="n"/>
      <c r="E8" s="33">
        <f>SUM(E3:E7)</f>
        <v/>
      </c>
      <c r="F8" s="34" t="n"/>
    </row>
    <row r="10">
      <c r="A10" s="23" t="inlineStr">
        <is>
          <t>Weighted pipeline covers 3.1× the Q4 new-ARR plan; board target is 3.0×.</t>
        </is>
      </c>
    </row>
  </sheetData>
  <autoFilter ref="A2:F7"/>
  <mergeCells count="2">
    <mergeCell ref="A1:F1"/>
    <mergeCell ref="A10:F10"/>
  </mergeCells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D6DCE4"/>
    <outlinePr summaryBelow="1" summaryRight="1"/>
    <pageSetUpPr fitToPage="1"/>
  </sheetPr>
  <dimension ref="A1:F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0" customWidth="1" min="5" max="5"/>
    <col width="36" customWidth="1" min="6" max="6"/>
  </cols>
  <sheetData>
    <row r="1" ht="22" customHeight="1">
      <c r="A1" s="14" t="inlineStr">
        <is>
          <t>Headcount — Q3 plan vs actual</t>
        </is>
      </c>
    </row>
    <row r="2" ht="20" customHeight="1">
      <c r="A2" s="7" t="inlineStr">
        <is>
          <t>Function</t>
        </is>
      </c>
      <c r="B2" s="24" t="inlineStr">
        <is>
          <t>Q2 actual</t>
        </is>
      </c>
      <c r="C2" s="24" t="inlineStr">
        <is>
          <t>Q3 plan</t>
        </is>
      </c>
      <c r="D2" s="24" t="inlineStr">
        <is>
          <t>Q3 actual</t>
        </is>
      </c>
      <c r="E2" s="8" t="inlineStr">
        <is>
          <t>Var</t>
        </is>
      </c>
      <c r="F2" s="7" t="inlineStr">
        <is>
          <t>Commentary</t>
        </is>
      </c>
    </row>
    <row r="3">
      <c r="A3" s="18" t="inlineStr">
        <is>
          <t>Engineering</t>
        </is>
      </c>
      <c r="B3" s="21" t="n">
        <v>78</v>
      </c>
      <c r="C3" s="21" t="n">
        <v>86</v>
      </c>
      <c r="D3" s="21" t="n">
        <v>83</v>
      </c>
      <c r="E3" s="35">
        <f>D3-C3</f>
        <v/>
      </c>
      <c r="F3" s="31" t="inlineStr">
        <is>
          <t>Three offers out; two backfills paused</t>
        </is>
      </c>
    </row>
    <row r="4">
      <c r="A4" s="18" t="inlineStr">
        <is>
          <t>Product &amp; design</t>
        </is>
      </c>
      <c r="B4" s="21" t="n">
        <v>19</v>
      </c>
      <c r="C4" s="21" t="n">
        <v>22</v>
      </c>
      <c r="D4" s="21" t="n">
        <v>21</v>
      </c>
      <c r="E4" s="35">
        <f>D4-C4</f>
        <v/>
      </c>
      <c r="F4" s="31" t="inlineStr">
        <is>
          <t>Design systems hire starts 1 Sep</t>
        </is>
      </c>
    </row>
    <row r="5">
      <c r="A5" s="18" t="inlineStr">
        <is>
          <t>Sales</t>
        </is>
      </c>
      <c r="B5" s="21" t="n">
        <v>41</v>
      </c>
      <c r="C5" s="21" t="n">
        <v>48</v>
      </c>
      <c r="D5" s="21" t="n">
        <v>45</v>
      </c>
      <c r="E5" s="35">
        <f>D5-C5</f>
        <v/>
      </c>
      <c r="F5" s="31" t="inlineStr">
        <is>
          <t>Two AE ramps pushed to Q4</t>
        </is>
      </c>
    </row>
    <row r="6">
      <c r="A6" s="18" t="inlineStr">
        <is>
          <t>Customer success</t>
        </is>
      </c>
      <c r="B6" s="21" t="n">
        <v>27</v>
      </c>
      <c r="C6" s="21" t="n">
        <v>31</v>
      </c>
      <c r="D6" s="21" t="n">
        <v>31</v>
      </c>
      <c r="E6" s="35">
        <f>D6-C6</f>
        <v/>
      </c>
      <c r="F6" s="31" t="inlineStr">
        <is>
          <t>Fully staffed against the renewal book</t>
        </is>
      </c>
    </row>
    <row r="7">
      <c r="A7" s="18" t="inlineStr">
        <is>
          <t>Marketing</t>
        </is>
      </c>
      <c r="B7" s="21" t="n">
        <v>16</v>
      </c>
      <c r="C7" s="21" t="n">
        <v>17</v>
      </c>
      <c r="D7" s="21" t="n">
        <v>16</v>
      </c>
      <c r="E7" s="35">
        <f>D7-C7</f>
        <v/>
      </c>
      <c r="F7" s="31" t="inlineStr">
        <is>
          <t>Holding open the demand-gen lead</t>
        </is>
      </c>
    </row>
    <row r="8">
      <c r="A8" s="18" t="inlineStr">
        <is>
          <t>G&amp;A</t>
        </is>
      </c>
      <c r="B8" s="21" t="n">
        <v>14</v>
      </c>
      <c r="C8" s="21" t="n">
        <v>15</v>
      </c>
      <c r="D8" s="21" t="n">
        <v>15</v>
      </c>
      <c r="E8" s="35">
        <f>D8-C8</f>
        <v/>
      </c>
      <c r="F8" s="31" t="inlineStr">
        <is>
          <t>Includes the new revenue accountant</t>
        </is>
      </c>
    </row>
    <row r="9">
      <c r="A9" s="27" t="inlineStr">
        <is>
          <t>Total</t>
        </is>
      </c>
      <c r="B9" s="36">
        <f>SUM(B3:B8)</f>
        <v/>
      </c>
      <c r="C9" s="36">
        <f>SUM(C3:C8)</f>
        <v/>
      </c>
      <c r="D9" s="36">
        <f>SUM(D3:D8)</f>
        <v/>
      </c>
      <c r="E9" s="37">
        <f>SUM(E3:E8)</f>
        <v/>
      </c>
      <c r="F9" s="34" t="n"/>
    </row>
    <row r="11">
      <c r="A11" s="23" t="inlineStr">
        <is>
          <t>Net 6 under plan; the shortfall funds the Q4 security hires.</t>
        </is>
      </c>
    </row>
  </sheetData>
  <autoFilter ref="A2:F8"/>
  <mergeCells count="2">
    <mergeCell ref="A11:F11"/>
    <mergeCell ref="A1:F1"/>
  </mergeCells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Shah, VP Finance</dc:creator>
  <dc:title xmlns:dc="http://purl.org/dc/elements/1.1/">Northstar Analytics — FY2026 Q3 financial summary</dc:title>
  <dc:description xmlns:dc="http://purl.org/dc/elements/1.1/">Northstar Analytics FY2026 Q3 Board Pack. Gold cells are inputs; Inputs!B2 is the named range Rate.</dc:description>
  <dc:subject xmlns:dc="http://purl.org/dc/elements/1.1/">Q3 revenue and commission model</dc:subject>
  <dcterms:created xmlns:dcterms="http://purl.org/dc/terms/" xmlns:xsi="http://www.w3.org/2001/XMLSchema-instance" xsi:type="dcterms:W3CDTF">2026-08-17T09:00:00Z</dcterms:created>
  <dcterms:modified xmlns:dcterms="http://purl.org/dc/terms/" xmlns:xsi="http://www.w3.org/2001/XMLSchema-instance" xsi:type="dcterms:W3CDTF">2026-08-17T13:02:22Z</dcterms:modified>
  <cp:lastModifiedBy>Priya Shah, VP Finance</cp:lastModifiedBy>
  <cp:category>Board reporting</cp:category>
  <cp:keywords>Northstar Analytics; FY2026; Q3; board pack; confidential</cp:keywords>
</cp:coreProperties>
</file>